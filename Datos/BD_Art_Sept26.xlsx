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ocuments\Cambios_legales\Datos\"/>
    </mc:Choice>
  </mc:AlternateContent>
  <xr:revisionPtr revIDLastSave="0" documentId="8_{2CE28E48-401A-41F2-89AE-C99A50FB67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IT" sheetId="2" r:id="rId1"/>
    <sheet name="PWT" sheetId="7" r:id="rId2"/>
    <sheet name="Diccionario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21" i="7" l="1"/>
  <c r="Q721" i="7"/>
  <c r="P721" i="7"/>
  <c r="O721" i="7"/>
  <c r="N721" i="7"/>
  <c r="M721" i="7"/>
  <c r="L721" i="7"/>
  <c r="R720" i="7"/>
  <c r="Q720" i="7"/>
  <c r="P720" i="7"/>
  <c r="O720" i="7"/>
  <c r="N720" i="7"/>
  <c r="M720" i="7"/>
  <c r="L720" i="7"/>
  <c r="R719" i="7"/>
  <c r="Q719" i="7"/>
  <c r="P719" i="7"/>
  <c r="O719" i="7"/>
  <c r="N719" i="7"/>
  <c r="M719" i="7"/>
  <c r="L719" i="7"/>
  <c r="R718" i="7"/>
  <c r="Q718" i="7"/>
  <c r="P718" i="7"/>
  <c r="O718" i="7"/>
  <c r="N718" i="7"/>
  <c r="M718" i="7"/>
  <c r="L718" i="7"/>
  <c r="R717" i="7"/>
  <c r="Q717" i="7"/>
  <c r="P717" i="7"/>
  <c r="O717" i="7"/>
  <c r="N717" i="7"/>
  <c r="M717" i="7"/>
  <c r="L717" i="7"/>
  <c r="R716" i="7"/>
  <c r="Q716" i="7"/>
  <c r="P716" i="7"/>
  <c r="O716" i="7"/>
  <c r="N716" i="7"/>
  <c r="M716" i="7"/>
  <c r="L716" i="7"/>
  <c r="R715" i="7"/>
  <c r="Q715" i="7"/>
  <c r="P715" i="7"/>
  <c r="O715" i="7"/>
  <c r="N715" i="7"/>
  <c r="M715" i="7"/>
  <c r="L715" i="7"/>
  <c r="R714" i="7"/>
  <c r="Q714" i="7"/>
  <c r="P714" i="7"/>
  <c r="O714" i="7"/>
  <c r="N714" i="7"/>
  <c r="M714" i="7"/>
  <c r="L714" i="7"/>
  <c r="R713" i="7"/>
  <c r="Q713" i="7"/>
  <c r="P713" i="7"/>
  <c r="O713" i="7"/>
  <c r="N713" i="7"/>
  <c r="M713" i="7"/>
  <c r="L713" i="7"/>
  <c r="R712" i="7"/>
  <c r="Q712" i="7"/>
  <c r="P712" i="7"/>
  <c r="O712" i="7"/>
  <c r="N712" i="7"/>
  <c r="M712" i="7"/>
  <c r="L712" i="7"/>
  <c r="R711" i="7"/>
  <c r="Q711" i="7"/>
  <c r="P711" i="7"/>
  <c r="O711" i="7"/>
  <c r="N711" i="7"/>
  <c r="M711" i="7"/>
  <c r="L711" i="7"/>
  <c r="R710" i="7"/>
  <c r="Q710" i="7"/>
  <c r="P710" i="7"/>
  <c r="O710" i="7"/>
  <c r="N710" i="7"/>
  <c r="M710" i="7"/>
  <c r="L710" i="7"/>
  <c r="R709" i="7"/>
  <c r="Q709" i="7"/>
  <c r="P709" i="7"/>
  <c r="O709" i="7"/>
  <c r="N709" i="7"/>
  <c r="M709" i="7"/>
  <c r="L709" i="7"/>
  <c r="R708" i="7"/>
  <c r="Q708" i="7"/>
  <c r="P708" i="7"/>
  <c r="O708" i="7"/>
  <c r="N708" i="7"/>
  <c r="M708" i="7"/>
  <c r="L708" i="7"/>
  <c r="R707" i="7"/>
  <c r="Q707" i="7"/>
  <c r="P707" i="7"/>
  <c r="O707" i="7"/>
  <c r="N707" i="7"/>
  <c r="M707" i="7"/>
  <c r="L707" i="7"/>
  <c r="R706" i="7"/>
  <c r="Q706" i="7"/>
  <c r="P706" i="7"/>
  <c r="O706" i="7"/>
  <c r="N706" i="7"/>
  <c r="M706" i="7"/>
  <c r="L706" i="7"/>
  <c r="R705" i="7"/>
  <c r="Q705" i="7"/>
  <c r="P705" i="7"/>
  <c r="O705" i="7"/>
  <c r="N705" i="7"/>
  <c r="M705" i="7"/>
  <c r="L705" i="7"/>
  <c r="R704" i="7"/>
  <c r="Q704" i="7"/>
  <c r="P704" i="7"/>
  <c r="O704" i="7"/>
  <c r="N704" i="7"/>
  <c r="M704" i="7"/>
  <c r="L704" i="7"/>
  <c r="R703" i="7"/>
  <c r="Q703" i="7"/>
  <c r="P703" i="7"/>
  <c r="O703" i="7"/>
  <c r="N703" i="7"/>
  <c r="M703" i="7"/>
  <c r="L703" i="7"/>
  <c r="R702" i="7"/>
  <c r="Q702" i="7"/>
  <c r="P702" i="7"/>
  <c r="O702" i="7"/>
  <c r="N702" i="7"/>
  <c r="M702" i="7"/>
  <c r="L702" i="7"/>
  <c r="R701" i="7"/>
  <c r="Q701" i="7"/>
  <c r="P701" i="7"/>
  <c r="O701" i="7"/>
  <c r="N701" i="7"/>
  <c r="M701" i="7"/>
  <c r="L701" i="7"/>
  <c r="R700" i="7"/>
  <c r="Q700" i="7"/>
  <c r="P700" i="7"/>
  <c r="O700" i="7"/>
  <c r="N700" i="7"/>
  <c r="M700" i="7"/>
  <c r="L700" i="7"/>
  <c r="R699" i="7"/>
  <c r="Q699" i="7"/>
  <c r="P699" i="7"/>
  <c r="O699" i="7"/>
  <c r="N699" i="7"/>
  <c r="M699" i="7"/>
  <c r="L699" i="7"/>
  <c r="R698" i="7"/>
  <c r="Q698" i="7"/>
  <c r="P698" i="7"/>
  <c r="O698" i="7"/>
  <c r="N698" i="7"/>
  <c r="M698" i="7"/>
  <c r="L698" i="7"/>
  <c r="R697" i="7"/>
  <c r="Q697" i="7"/>
  <c r="P697" i="7"/>
  <c r="O697" i="7"/>
  <c r="N697" i="7"/>
  <c r="M697" i="7"/>
  <c r="L697" i="7"/>
  <c r="R696" i="7"/>
  <c r="Q696" i="7"/>
  <c r="P696" i="7"/>
  <c r="O696" i="7"/>
  <c r="N696" i="7"/>
  <c r="M696" i="7"/>
  <c r="L696" i="7"/>
  <c r="R695" i="7"/>
  <c r="Q695" i="7"/>
  <c r="P695" i="7"/>
  <c r="O695" i="7"/>
  <c r="N695" i="7"/>
  <c r="M695" i="7"/>
  <c r="L695" i="7"/>
  <c r="R694" i="7"/>
  <c r="Q694" i="7"/>
  <c r="P694" i="7"/>
  <c r="O694" i="7"/>
  <c r="N694" i="7"/>
  <c r="M694" i="7"/>
  <c r="L694" i="7"/>
  <c r="R693" i="7"/>
  <c r="Q693" i="7"/>
  <c r="P693" i="7"/>
  <c r="O693" i="7"/>
  <c r="N693" i="7"/>
  <c r="M693" i="7"/>
  <c r="L693" i="7"/>
  <c r="R692" i="7"/>
  <c r="Q692" i="7"/>
  <c r="P692" i="7"/>
  <c r="O692" i="7"/>
  <c r="N692" i="7"/>
  <c r="M692" i="7"/>
  <c r="L692" i="7"/>
  <c r="R691" i="7"/>
  <c r="Q691" i="7"/>
  <c r="P691" i="7"/>
  <c r="O691" i="7"/>
  <c r="N691" i="7"/>
  <c r="M691" i="7"/>
  <c r="L691" i="7"/>
  <c r="R690" i="7"/>
  <c r="Q690" i="7"/>
  <c r="P690" i="7"/>
  <c r="O690" i="7"/>
  <c r="N690" i="7"/>
  <c r="M690" i="7"/>
  <c r="L690" i="7"/>
  <c r="R689" i="7"/>
  <c r="Q689" i="7"/>
  <c r="P689" i="7"/>
  <c r="O689" i="7"/>
  <c r="N689" i="7"/>
  <c r="M689" i="7"/>
  <c r="L689" i="7"/>
  <c r="R688" i="7"/>
  <c r="Q688" i="7"/>
  <c r="P688" i="7"/>
  <c r="O688" i="7"/>
  <c r="N688" i="7"/>
  <c r="M688" i="7"/>
  <c r="L688" i="7"/>
  <c r="R687" i="7"/>
  <c r="Q687" i="7"/>
  <c r="P687" i="7"/>
  <c r="O687" i="7"/>
  <c r="N687" i="7"/>
  <c r="M687" i="7"/>
  <c r="L687" i="7"/>
  <c r="R686" i="7"/>
  <c r="Q686" i="7"/>
  <c r="P686" i="7"/>
  <c r="O686" i="7"/>
  <c r="N686" i="7"/>
  <c r="M686" i="7"/>
  <c r="L686" i="7"/>
  <c r="R685" i="7"/>
  <c r="Q685" i="7"/>
  <c r="P685" i="7"/>
  <c r="O685" i="7"/>
  <c r="N685" i="7"/>
  <c r="M685" i="7"/>
  <c r="L685" i="7"/>
  <c r="R684" i="7"/>
  <c r="Q684" i="7"/>
  <c r="P684" i="7"/>
  <c r="O684" i="7"/>
  <c r="N684" i="7"/>
  <c r="M684" i="7"/>
  <c r="L684" i="7"/>
  <c r="R683" i="7"/>
  <c r="Q683" i="7"/>
  <c r="P683" i="7"/>
  <c r="O683" i="7"/>
  <c r="N683" i="7"/>
  <c r="M683" i="7"/>
  <c r="L683" i="7"/>
  <c r="R682" i="7"/>
  <c r="Q682" i="7"/>
  <c r="P682" i="7"/>
  <c r="O682" i="7"/>
  <c r="N682" i="7"/>
  <c r="M682" i="7"/>
  <c r="L682" i="7"/>
  <c r="R681" i="7"/>
  <c r="Q681" i="7"/>
  <c r="P681" i="7"/>
  <c r="O681" i="7"/>
  <c r="N681" i="7"/>
  <c r="M681" i="7"/>
  <c r="L681" i="7"/>
  <c r="R680" i="7"/>
  <c r="Q680" i="7"/>
  <c r="P680" i="7"/>
  <c r="O680" i="7"/>
  <c r="N680" i="7"/>
  <c r="M680" i="7"/>
  <c r="L680" i="7"/>
  <c r="R679" i="7"/>
  <c r="Q679" i="7"/>
  <c r="P679" i="7"/>
  <c r="O679" i="7"/>
  <c r="N679" i="7"/>
  <c r="M679" i="7"/>
  <c r="L679" i="7"/>
  <c r="R678" i="7"/>
  <c r="Q678" i="7"/>
  <c r="P678" i="7"/>
  <c r="O678" i="7"/>
  <c r="N678" i="7"/>
  <c r="M678" i="7"/>
  <c r="L678" i="7"/>
  <c r="R677" i="7"/>
  <c r="Q677" i="7"/>
  <c r="P677" i="7"/>
  <c r="O677" i="7"/>
  <c r="N677" i="7"/>
  <c r="M677" i="7"/>
  <c r="L677" i="7"/>
  <c r="R676" i="7"/>
  <c r="Q676" i="7"/>
  <c r="P676" i="7"/>
  <c r="O676" i="7"/>
  <c r="N676" i="7"/>
  <c r="M676" i="7"/>
  <c r="L676" i="7"/>
  <c r="R675" i="7"/>
  <c r="Q675" i="7"/>
  <c r="P675" i="7"/>
  <c r="O675" i="7"/>
  <c r="N675" i="7"/>
  <c r="M675" i="7"/>
  <c r="L675" i="7"/>
  <c r="R674" i="7"/>
  <c r="Q674" i="7"/>
  <c r="P674" i="7"/>
  <c r="O674" i="7"/>
  <c r="N674" i="7"/>
  <c r="M674" i="7"/>
  <c r="L674" i="7"/>
  <c r="R673" i="7"/>
  <c r="Q673" i="7"/>
  <c r="P673" i="7"/>
  <c r="O673" i="7"/>
  <c r="N673" i="7"/>
  <c r="M673" i="7"/>
  <c r="L673" i="7"/>
  <c r="R672" i="7"/>
  <c r="Q672" i="7"/>
  <c r="P672" i="7"/>
  <c r="O672" i="7"/>
  <c r="N672" i="7"/>
  <c r="M672" i="7"/>
  <c r="L672" i="7"/>
  <c r="R671" i="7"/>
  <c r="Q671" i="7"/>
  <c r="P671" i="7"/>
  <c r="O671" i="7"/>
  <c r="N671" i="7"/>
  <c r="M671" i="7"/>
  <c r="L671" i="7"/>
  <c r="R670" i="7"/>
  <c r="Q670" i="7"/>
  <c r="P670" i="7"/>
  <c r="O670" i="7"/>
  <c r="N670" i="7"/>
  <c r="M670" i="7"/>
  <c r="L670" i="7"/>
  <c r="R669" i="7"/>
  <c r="Q669" i="7"/>
  <c r="P669" i="7"/>
  <c r="O669" i="7"/>
  <c r="N669" i="7"/>
  <c r="M669" i="7"/>
  <c r="L669" i="7"/>
  <c r="R668" i="7"/>
  <c r="Q668" i="7"/>
  <c r="P668" i="7"/>
  <c r="O668" i="7"/>
  <c r="N668" i="7"/>
  <c r="M668" i="7"/>
  <c r="L668" i="7"/>
  <c r="R667" i="7"/>
  <c r="Q667" i="7"/>
  <c r="P667" i="7"/>
  <c r="O667" i="7"/>
  <c r="N667" i="7"/>
  <c r="M667" i="7"/>
  <c r="L667" i="7"/>
  <c r="R666" i="7"/>
  <c r="Q666" i="7"/>
  <c r="P666" i="7"/>
  <c r="O666" i="7"/>
  <c r="N666" i="7"/>
  <c r="M666" i="7"/>
  <c r="L666" i="7"/>
  <c r="R665" i="7"/>
  <c r="Q665" i="7"/>
  <c r="P665" i="7"/>
  <c r="O665" i="7"/>
  <c r="N665" i="7"/>
  <c r="M665" i="7"/>
  <c r="L665" i="7"/>
  <c r="R664" i="7"/>
  <c r="Q664" i="7"/>
  <c r="P664" i="7"/>
  <c r="O664" i="7"/>
  <c r="N664" i="7"/>
  <c r="M664" i="7"/>
  <c r="L664" i="7"/>
  <c r="R663" i="7"/>
  <c r="Q663" i="7"/>
  <c r="P663" i="7"/>
  <c r="O663" i="7"/>
  <c r="N663" i="7"/>
  <c r="M663" i="7"/>
  <c r="L663" i="7"/>
  <c r="R662" i="7"/>
  <c r="Q662" i="7"/>
  <c r="P662" i="7"/>
  <c r="O662" i="7"/>
  <c r="N662" i="7"/>
  <c r="M662" i="7"/>
  <c r="L662" i="7"/>
  <c r="R661" i="7"/>
  <c r="Q661" i="7"/>
  <c r="P661" i="7"/>
  <c r="O661" i="7"/>
  <c r="N661" i="7"/>
  <c r="M661" i="7"/>
  <c r="L661" i="7"/>
  <c r="R660" i="7"/>
  <c r="Q660" i="7"/>
  <c r="P660" i="7"/>
  <c r="O660" i="7"/>
  <c r="N660" i="7"/>
  <c r="M660" i="7"/>
  <c r="L660" i="7"/>
  <c r="R659" i="7"/>
  <c r="Q659" i="7"/>
  <c r="P659" i="7"/>
  <c r="O659" i="7"/>
  <c r="N659" i="7"/>
  <c r="M659" i="7"/>
  <c r="L659" i="7"/>
  <c r="R658" i="7"/>
  <c r="Q658" i="7"/>
  <c r="P658" i="7"/>
  <c r="O658" i="7"/>
  <c r="N658" i="7"/>
  <c r="M658" i="7"/>
  <c r="L658" i="7"/>
  <c r="R657" i="7"/>
  <c r="Q657" i="7"/>
  <c r="P657" i="7"/>
  <c r="O657" i="7"/>
  <c r="N657" i="7"/>
  <c r="M657" i="7"/>
  <c r="L657" i="7"/>
  <c r="R656" i="7"/>
  <c r="Q656" i="7"/>
  <c r="P656" i="7"/>
  <c r="O656" i="7"/>
  <c r="N656" i="7"/>
  <c r="M656" i="7"/>
  <c r="L656" i="7"/>
  <c r="R655" i="7"/>
  <c r="Q655" i="7"/>
  <c r="P655" i="7"/>
  <c r="O655" i="7"/>
  <c r="N655" i="7"/>
  <c r="M655" i="7"/>
  <c r="L655" i="7"/>
  <c r="R654" i="7"/>
  <c r="Q654" i="7"/>
  <c r="P654" i="7"/>
  <c r="O654" i="7"/>
  <c r="N654" i="7"/>
  <c r="M654" i="7"/>
  <c r="L654" i="7"/>
  <c r="R653" i="7"/>
  <c r="Q653" i="7"/>
  <c r="P653" i="7"/>
  <c r="O653" i="7"/>
  <c r="N653" i="7"/>
  <c r="M653" i="7"/>
  <c r="L653" i="7"/>
  <c r="R652" i="7"/>
  <c r="Q652" i="7"/>
  <c r="P652" i="7"/>
  <c r="O652" i="7"/>
  <c r="N652" i="7"/>
  <c r="M652" i="7"/>
  <c r="L652" i="7"/>
  <c r="R651" i="7"/>
  <c r="Q651" i="7"/>
  <c r="P651" i="7"/>
  <c r="O651" i="7"/>
  <c r="N651" i="7"/>
  <c r="M651" i="7"/>
  <c r="L651" i="7"/>
  <c r="R650" i="7"/>
  <c r="Q650" i="7"/>
  <c r="P650" i="7"/>
  <c r="O650" i="7"/>
  <c r="N650" i="7"/>
  <c r="M650" i="7"/>
  <c r="L650" i="7"/>
  <c r="R649" i="7"/>
  <c r="Q649" i="7"/>
  <c r="P649" i="7"/>
  <c r="O649" i="7"/>
  <c r="N649" i="7"/>
  <c r="M649" i="7"/>
  <c r="L649" i="7"/>
  <c r="R648" i="7"/>
  <c r="Q648" i="7"/>
  <c r="P648" i="7"/>
  <c r="O648" i="7"/>
  <c r="N648" i="7"/>
  <c r="M648" i="7"/>
  <c r="L648" i="7"/>
  <c r="R647" i="7"/>
  <c r="Q647" i="7"/>
  <c r="P647" i="7"/>
  <c r="O647" i="7"/>
  <c r="N647" i="7"/>
  <c r="M647" i="7"/>
  <c r="L647" i="7"/>
  <c r="R646" i="7"/>
  <c r="Q646" i="7"/>
  <c r="P646" i="7"/>
  <c r="O646" i="7"/>
  <c r="N646" i="7"/>
  <c r="M646" i="7"/>
  <c r="L646" i="7"/>
  <c r="R645" i="7"/>
  <c r="Q645" i="7"/>
  <c r="P645" i="7"/>
  <c r="O645" i="7"/>
  <c r="N645" i="7"/>
  <c r="M645" i="7"/>
  <c r="L645" i="7"/>
  <c r="R644" i="7"/>
  <c r="Q644" i="7"/>
  <c r="P644" i="7"/>
  <c r="O644" i="7"/>
  <c r="N644" i="7"/>
  <c r="M644" i="7"/>
  <c r="L644" i="7"/>
  <c r="R643" i="7"/>
  <c r="Q643" i="7"/>
  <c r="P643" i="7"/>
  <c r="O643" i="7"/>
  <c r="N643" i="7"/>
  <c r="M643" i="7"/>
  <c r="L643" i="7"/>
  <c r="R642" i="7"/>
  <c r="Q642" i="7"/>
  <c r="P642" i="7"/>
  <c r="O642" i="7"/>
  <c r="N642" i="7"/>
  <c r="M642" i="7"/>
  <c r="L642" i="7"/>
  <c r="R641" i="7"/>
  <c r="Q641" i="7"/>
  <c r="P641" i="7"/>
  <c r="O641" i="7"/>
  <c r="N641" i="7"/>
  <c r="M641" i="7"/>
  <c r="L641" i="7"/>
  <c r="R640" i="7"/>
  <c r="Q640" i="7"/>
  <c r="P640" i="7"/>
  <c r="O640" i="7"/>
  <c r="N640" i="7"/>
  <c r="M640" i="7"/>
  <c r="L640" i="7"/>
  <c r="R639" i="7"/>
  <c r="Q639" i="7"/>
  <c r="P639" i="7"/>
  <c r="O639" i="7"/>
  <c r="N639" i="7"/>
  <c r="M639" i="7"/>
  <c r="L639" i="7"/>
  <c r="R638" i="7"/>
  <c r="Q638" i="7"/>
  <c r="P638" i="7"/>
  <c r="O638" i="7"/>
  <c r="N638" i="7"/>
  <c r="M638" i="7"/>
  <c r="L638" i="7"/>
  <c r="R637" i="7"/>
  <c r="Q637" i="7"/>
  <c r="P637" i="7"/>
  <c r="O637" i="7"/>
  <c r="N637" i="7"/>
  <c r="M637" i="7"/>
  <c r="L637" i="7"/>
  <c r="R636" i="7"/>
  <c r="Q636" i="7"/>
  <c r="P636" i="7"/>
  <c r="O636" i="7"/>
  <c r="N636" i="7"/>
  <c r="M636" i="7"/>
  <c r="L636" i="7"/>
  <c r="R635" i="7"/>
  <c r="Q635" i="7"/>
  <c r="P635" i="7"/>
  <c r="O635" i="7"/>
  <c r="N635" i="7"/>
  <c r="M635" i="7"/>
  <c r="L635" i="7"/>
  <c r="R634" i="7"/>
  <c r="Q634" i="7"/>
  <c r="P634" i="7"/>
  <c r="O634" i="7"/>
  <c r="N634" i="7"/>
  <c r="M634" i="7"/>
  <c r="L634" i="7"/>
  <c r="R633" i="7"/>
  <c r="Q633" i="7"/>
  <c r="P633" i="7"/>
  <c r="O633" i="7"/>
  <c r="N633" i="7"/>
  <c r="M633" i="7"/>
  <c r="L633" i="7"/>
  <c r="R632" i="7"/>
  <c r="Q632" i="7"/>
  <c r="P632" i="7"/>
  <c r="O632" i="7"/>
  <c r="N632" i="7"/>
  <c r="M632" i="7"/>
  <c r="L632" i="7"/>
  <c r="R631" i="7"/>
  <c r="Q631" i="7"/>
  <c r="P631" i="7"/>
  <c r="O631" i="7"/>
  <c r="N631" i="7"/>
  <c r="M631" i="7"/>
  <c r="L631" i="7"/>
  <c r="R630" i="7"/>
  <c r="Q630" i="7"/>
  <c r="P630" i="7"/>
  <c r="O630" i="7"/>
  <c r="N630" i="7"/>
  <c r="M630" i="7"/>
  <c r="L630" i="7"/>
  <c r="R629" i="7"/>
  <c r="Q629" i="7"/>
  <c r="P629" i="7"/>
  <c r="O629" i="7"/>
  <c r="N629" i="7"/>
  <c r="M629" i="7"/>
  <c r="L629" i="7"/>
  <c r="R628" i="7"/>
  <c r="Q628" i="7"/>
  <c r="P628" i="7"/>
  <c r="O628" i="7"/>
  <c r="N628" i="7"/>
  <c r="M628" i="7"/>
  <c r="L628" i="7"/>
  <c r="R627" i="7"/>
  <c r="Q627" i="7"/>
  <c r="P627" i="7"/>
  <c r="O627" i="7"/>
  <c r="N627" i="7"/>
  <c r="M627" i="7"/>
  <c r="L627" i="7"/>
  <c r="R626" i="7"/>
  <c r="Q626" i="7"/>
  <c r="P626" i="7"/>
  <c r="O626" i="7"/>
  <c r="N626" i="7"/>
  <c r="M626" i="7"/>
  <c r="L626" i="7"/>
  <c r="R625" i="7"/>
  <c r="Q625" i="7"/>
  <c r="P625" i="7"/>
  <c r="O625" i="7"/>
  <c r="N625" i="7"/>
  <c r="M625" i="7"/>
  <c r="L625" i="7"/>
  <c r="R624" i="7"/>
  <c r="Q624" i="7"/>
  <c r="P624" i="7"/>
  <c r="O624" i="7"/>
  <c r="N624" i="7"/>
  <c r="M624" i="7"/>
  <c r="L624" i="7"/>
  <c r="R623" i="7"/>
  <c r="Q623" i="7"/>
  <c r="P623" i="7"/>
  <c r="O623" i="7"/>
  <c r="N623" i="7"/>
  <c r="M623" i="7"/>
  <c r="L623" i="7"/>
  <c r="R622" i="7"/>
  <c r="Q622" i="7"/>
  <c r="P622" i="7"/>
  <c r="O622" i="7"/>
  <c r="N622" i="7"/>
  <c r="M622" i="7"/>
  <c r="L622" i="7"/>
  <c r="R621" i="7"/>
  <c r="Q621" i="7"/>
  <c r="P621" i="7"/>
  <c r="O621" i="7"/>
  <c r="N621" i="7"/>
  <c r="M621" i="7"/>
  <c r="L621" i="7"/>
  <c r="R620" i="7"/>
  <c r="Q620" i="7"/>
  <c r="P620" i="7"/>
  <c r="O620" i="7"/>
  <c r="N620" i="7"/>
  <c r="M620" i="7"/>
  <c r="L620" i="7"/>
  <c r="R619" i="7"/>
  <c r="Q619" i="7"/>
  <c r="P619" i="7"/>
  <c r="O619" i="7"/>
  <c r="N619" i="7"/>
  <c r="M619" i="7"/>
  <c r="L619" i="7"/>
  <c r="R618" i="7"/>
  <c r="Q618" i="7"/>
  <c r="P618" i="7"/>
  <c r="O618" i="7"/>
  <c r="N618" i="7"/>
  <c r="M618" i="7"/>
  <c r="L618" i="7"/>
  <c r="R617" i="7"/>
  <c r="Q617" i="7"/>
  <c r="P617" i="7"/>
  <c r="O617" i="7"/>
  <c r="N617" i="7"/>
  <c r="M617" i="7"/>
  <c r="L617" i="7"/>
  <c r="R616" i="7"/>
  <c r="Q616" i="7"/>
  <c r="P616" i="7"/>
  <c r="O616" i="7"/>
  <c r="N616" i="7"/>
  <c r="M616" i="7"/>
  <c r="L616" i="7"/>
  <c r="R615" i="7"/>
  <c r="Q615" i="7"/>
  <c r="P615" i="7"/>
  <c r="O615" i="7"/>
  <c r="N615" i="7"/>
  <c r="M615" i="7"/>
  <c r="L615" i="7"/>
  <c r="R614" i="7"/>
  <c r="Q614" i="7"/>
  <c r="P614" i="7"/>
  <c r="O614" i="7"/>
  <c r="N614" i="7"/>
  <c r="M614" i="7"/>
  <c r="L614" i="7"/>
  <c r="R613" i="7"/>
  <c r="Q613" i="7"/>
  <c r="P613" i="7"/>
  <c r="O613" i="7"/>
  <c r="N613" i="7"/>
  <c r="M613" i="7"/>
  <c r="L613" i="7"/>
  <c r="R612" i="7"/>
  <c r="Q612" i="7"/>
  <c r="P612" i="7"/>
  <c r="O612" i="7"/>
  <c r="N612" i="7"/>
  <c r="M612" i="7"/>
  <c r="L612" i="7"/>
  <c r="R611" i="7"/>
  <c r="Q611" i="7"/>
  <c r="P611" i="7"/>
  <c r="O611" i="7"/>
  <c r="N611" i="7"/>
  <c r="M611" i="7"/>
  <c r="L611" i="7"/>
  <c r="R610" i="7"/>
  <c r="Q610" i="7"/>
  <c r="P610" i="7"/>
  <c r="O610" i="7"/>
  <c r="N610" i="7"/>
  <c r="M610" i="7"/>
  <c r="L610" i="7"/>
  <c r="R609" i="7"/>
  <c r="Q609" i="7"/>
  <c r="P609" i="7"/>
  <c r="O609" i="7"/>
  <c r="N609" i="7"/>
  <c r="M609" i="7"/>
  <c r="L609" i="7"/>
  <c r="R608" i="7"/>
  <c r="Q608" i="7"/>
  <c r="P608" i="7"/>
  <c r="O608" i="7"/>
  <c r="N608" i="7"/>
  <c r="M608" i="7"/>
  <c r="L608" i="7"/>
  <c r="R607" i="7"/>
  <c r="Q607" i="7"/>
  <c r="P607" i="7"/>
  <c r="O607" i="7"/>
  <c r="N607" i="7"/>
  <c r="M607" i="7"/>
  <c r="L607" i="7"/>
  <c r="R606" i="7"/>
  <c r="Q606" i="7"/>
  <c r="P606" i="7"/>
  <c r="O606" i="7"/>
  <c r="N606" i="7"/>
  <c r="M606" i="7"/>
  <c r="L606" i="7"/>
  <c r="R605" i="7"/>
  <c r="Q605" i="7"/>
  <c r="P605" i="7"/>
  <c r="O605" i="7"/>
  <c r="N605" i="7"/>
  <c r="M605" i="7"/>
  <c r="L605" i="7"/>
  <c r="R604" i="7"/>
  <c r="Q604" i="7"/>
  <c r="P604" i="7"/>
  <c r="O604" i="7"/>
  <c r="N604" i="7"/>
  <c r="M604" i="7"/>
  <c r="L604" i="7"/>
  <c r="R603" i="7"/>
  <c r="Q603" i="7"/>
  <c r="P603" i="7"/>
  <c r="O603" i="7"/>
  <c r="N603" i="7"/>
  <c r="M603" i="7"/>
  <c r="L603" i="7"/>
  <c r="R602" i="7"/>
  <c r="Q602" i="7"/>
  <c r="P602" i="7"/>
  <c r="O602" i="7"/>
  <c r="N602" i="7"/>
  <c r="M602" i="7"/>
  <c r="L602" i="7"/>
  <c r="R601" i="7"/>
  <c r="Q601" i="7"/>
  <c r="P601" i="7"/>
  <c r="O601" i="7"/>
  <c r="N601" i="7"/>
  <c r="M601" i="7"/>
  <c r="L601" i="7"/>
  <c r="R600" i="7"/>
  <c r="Q600" i="7"/>
  <c r="P600" i="7"/>
  <c r="O600" i="7"/>
  <c r="N600" i="7"/>
  <c r="M600" i="7"/>
  <c r="L600" i="7"/>
  <c r="R599" i="7"/>
  <c r="Q599" i="7"/>
  <c r="P599" i="7"/>
  <c r="O599" i="7"/>
  <c r="N599" i="7"/>
  <c r="M599" i="7"/>
  <c r="L599" i="7"/>
  <c r="R598" i="7"/>
  <c r="Q598" i="7"/>
  <c r="P598" i="7"/>
  <c r="O598" i="7"/>
  <c r="N598" i="7"/>
  <c r="M598" i="7"/>
  <c r="L598" i="7"/>
  <c r="R597" i="7"/>
  <c r="Q597" i="7"/>
  <c r="P597" i="7"/>
  <c r="O597" i="7"/>
  <c r="N597" i="7"/>
  <c r="M597" i="7"/>
  <c r="L597" i="7"/>
  <c r="R596" i="7"/>
  <c r="Q596" i="7"/>
  <c r="P596" i="7"/>
  <c r="O596" i="7"/>
  <c r="N596" i="7"/>
  <c r="M596" i="7"/>
  <c r="L596" i="7"/>
  <c r="R595" i="7"/>
  <c r="Q595" i="7"/>
  <c r="P595" i="7"/>
  <c r="O595" i="7"/>
  <c r="N595" i="7"/>
  <c r="M595" i="7"/>
  <c r="L595" i="7"/>
  <c r="R594" i="7"/>
  <c r="Q594" i="7"/>
  <c r="P594" i="7"/>
  <c r="O594" i="7"/>
  <c r="N594" i="7"/>
  <c r="M594" i="7"/>
  <c r="L594" i="7"/>
  <c r="R593" i="7"/>
  <c r="Q593" i="7"/>
  <c r="P593" i="7"/>
  <c r="O593" i="7"/>
  <c r="N593" i="7"/>
  <c r="M593" i="7"/>
  <c r="L593" i="7"/>
  <c r="R592" i="7"/>
  <c r="Q592" i="7"/>
  <c r="P592" i="7"/>
  <c r="O592" i="7"/>
  <c r="N592" i="7"/>
  <c r="M592" i="7"/>
  <c r="L592" i="7"/>
  <c r="R591" i="7"/>
  <c r="Q591" i="7"/>
  <c r="P591" i="7"/>
  <c r="O591" i="7"/>
  <c r="N591" i="7"/>
  <c r="M591" i="7"/>
  <c r="L591" i="7"/>
  <c r="R590" i="7"/>
  <c r="Q590" i="7"/>
  <c r="P590" i="7"/>
  <c r="O590" i="7"/>
  <c r="N590" i="7"/>
  <c r="M590" i="7"/>
  <c r="L590" i="7"/>
  <c r="R589" i="7"/>
  <c r="Q589" i="7"/>
  <c r="P589" i="7"/>
  <c r="O589" i="7"/>
  <c r="N589" i="7"/>
  <c r="M589" i="7"/>
  <c r="L589" i="7"/>
  <c r="R588" i="7"/>
  <c r="Q588" i="7"/>
  <c r="P588" i="7"/>
  <c r="O588" i="7"/>
  <c r="N588" i="7"/>
  <c r="M588" i="7"/>
  <c r="L588" i="7"/>
  <c r="R587" i="7"/>
  <c r="Q587" i="7"/>
  <c r="P587" i="7"/>
  <c r="O587" i="7"/>
  <c r="N587" i="7"/>
  <c r="M587" i="7"/>
  <c r="L587" i="7"/>
  <c r="R586" i="7"/>
  <c r="Q586" i="7"/>
  <c r="P586" i="7"/>
  <c r="O586" i="7"/>
  <c r="N586" i="7"/>
  <c r="M586" i="7"/>
  <c r="L586" i="7"/>
  <c r="R585" i="7"/>
  <c r="Q585" i="7"/>
  <c r="P585" i="7"/>
  <c r="O585" i="7"/>
  <c r="N585" i="7"/>
  <c r="M585" i="7"/>
  <c r="L585" i="7"/>
  <c r="R584" i="7"/>
  <c r="Q584" i="7"/>
  <c r="P584" i="7"/>
  <c r="O584" i="7"/>
  <c r="N584" i="7"/>
  <c r="M584" i="7"/>
  <c r="L584" i="7"/>
  <c r="R583" i="7"/>
  <c r="Q583" i="7"/>
  <c r="P583" i="7"/>
  <c r="O583" i="7"/>
  <c r="N583" i="7"/>
  <c r="M583" i="7"/>
  <c r="L583" i="7"/>
  <c r="R582" i="7"/>
  <c r="Q582" i="7"/>
  <c r="P582" i="7"/>
  <c r="O582" i="7"/>
  <c r="N582" i="7"/>
  <c r="M582" i="7"/>
  <c r="L582" i="7"/>
  <c r="R581" i="7"/>
  <c r="Q581" i="7"/>
  <c r="P581" i="7"/>
  <c r="O581" i="7"/>
  <c r="N581" i="7"/>
  <c r="M581" i="7"/>
  <c r="L581" i="7"/>
  <c r="R580" i="7"/>
  <c r="Q580" i="7"/>
  <c r="P580" i="7"/>
  <c r="O580" i="7"/>
  <c r="N580" i="7"/>
  <c r="M580" i="7"/>
  <c r="L580" i="7"/>
  <c r="R579" i="7"/>
  <c r="Q579" i="7"/>
  <c r="P579" i="7"/>
  <c r="O579" i="7"/>
  <c r="N579" i="7"/>
  <c r="M579" i="7"/>
  <c r="L579" i="7"/>
  <c r="R578" i="7"/>
  <c r="Q578" i="7"/>
  <c r="P578" i="7"/>
  <c r="O578" i="7"/>
  <c r="N578" i="7"/>
  <c r="M578" i="7"/>
  <c r="L578" i="7"/>
  <c r="R577" i="7"/>
  <c r="Q577" i="7"/>
  <c r="P577" i="7"/>
  <c r="O577" i="7"/>
  <c r="N577" i="7"/>
  <c r="M577" i="7"/>
  <c r="L577" i="7"/>
  <c r="R576" i="7"/>
  <c r="Q576" i="7"/>
  <c r="P576" i="7"/>
  <c r="O576" i="7"/>
  <c r="N576" i="7"/>
  <c r="M576" i="7"/>
  <c r="L576" i="7"/>
  <c r="R575" i="7"/>
  <c r="Q575" i="7"/>
  <c r="P575" i="7"/>
  <c r="O575" i="7"/>
  <c r="N575" i="7"/>
  <c r="M575" i="7"/>
  <c r="L575" i="7"/>
  <c r="R574" i="7"/>
  <c r="Q574" i="7"/>
  <c r="P574" i="7"/>
  <c r="O574" i="7"/>
  <c r="N574" i="7"/>
  <c r="M574" i="7"/>
  <c r="L574" i="7"/>
  <c r="R573" i="7"/>
  <c r="Q573" i="7"/>
  <c r="P573" i="7"/>
  <c r="O573" i="7"/>
  <c r="N573" i="7"/>
  <c r="M573" i="7"/>
  <c r="L573" i="7"/>
  <c r="R572" i="7"/>
  <c r="Q572" i="7"/>
  <c r="P572" i="7"/>
  <c r="O572" i="7"/>
  <c r="N572" i="7"/>
  <c r="M572" i="7"/>
  <c r="L572" i="7"/>
  <c r="R571" i="7"/>
  <c r="Q571" i="7"/>
  <c r="P571" i="7"/>
  <c r="O571" i="7"/>
  <c r="N571" i="7"/>
  <c r="M571" i="7"/>
  <c r="L571" i="7"/>
  <c r="R570" i="7"/>
  <c r="Q570" i="7"/>
  <c r="P570" i="7"/>
  <c r="O570" i="7"/>
  <c r="N570" i="7"/>
  <c r="M570" i="7"/>
  <c r="L570" i="7"/>
  <c r="R569" i="7"/>
  <c r="Q569" i="7"/>
  <c r="P569" i="7"/>
  <c r="O569" i="7"/>
  <c r="N569" i="7"/>
  <c r="M569" i="7"/>
  <c r="L569" i="7"/>
  <c r="R568" i="7"/>
  <c r="Q568" i="7"/>
  <c r="P568" i="7"/>
  <c r="O568" i="7"/>
  <c r="N568" i="7"/>
  <c r="M568" i="7"/>
  <c r="L568" i="7"/>
  <c r="R567" i="7"/>
  <c r="Q567" i="7"/>
  <c r="P567" i="7"/>
  <c r="O567" i="7"/>
  <c r="N567" i="7"/>
  <c r="M567" i="7"/>
  <c r="L567" i="7"/>
  <c r="R566" i="7"/>
  <c r="Q566" i="7"/>
  <c r="P566" i="7"/>
  <c r="O566" i="7"/>
  <c r="N566" i="7"/>
  <c r="M566" i="7"/>
  <c r="L566" i="7"/>
  <c r="R565" i="7"/>
  <c r="Q565" i="7"/>
  <c r="P565" i="7"/>
  <c r="O565" i="7"/>
  <c r="N565" i="7"/>
  <c r="M565" i="7"/>
  <c r="L565" i="7"/>
  <c r="R564" i="7"/>
  <c r="Q564" i="7"/>
  <c r="P564" i="7"/>
  <c r="O564" i="7"/>
  <c r="N564" i="7"/>
  <c r="M564" i="7"/>
  <c r="L564" i="7"/>
  <c r="R563" i="7"/>
  <c r="Q563" i="7"/>
  <c r="P563" i="7"/>
  <c r="O563" i="7"/>
  <c r="N563" i="7"/>
  <c r="M563" i="7"/>
  <c r="L563" i="7"/>
  <c r="R562" i="7"/>
  <c r="Q562" i="7"/>
  <c r="P562" i="7"/>
  <c r="O562" i="7"/>
  <c r="N562" i="7"/>
  <c r="M562" i="7"/>
  <c r="L562" i="7"/>
  <c r="R561" i="7"/>
  <c r="Q561" i="7"/>
  <c r="P561" i="7"/>
  <c r="O561" i="7"/>
  <c r="N561" i="7"/>
  <c r="M561" i="7"/>
  <c r="L561" i="7"/>
  <c r="R560" i="7"/>
  <c r="Q560" i="7"/>
  <c r="P560" i="7"/>
  <c r="O560" i="7"/>
  <c r="N560" i="7"/>
  <c r="M560" i="7"/>
  <c r="L560" i="7"/>
  <c r="R559" i="7"/>
  <c r="Q559" i="7"/>
  <c r="P559" i="7"/>
  <c r="O559" i="7"/>
  <c r="N559" i="7"/>
  <c r="M559" i="7"/>
  <c r="L559" i="7"/>
  <c r="R558" i="7"/>
  <c r="Q558" i="7"/>
  <c r="P558" i="7"/>
  <c r="O558" i="7"/>
  <c r="N558" i="7"/>
  <c r="M558" i="7"/>
  <c r="L558" i="7"/>
  <c r="R557" i="7"/>
  <c r="Q557" i="7"/>
  <c r="P557" i="7"/>
  <c r="O557" i="7"/>
  <c r="N557" i="7"/>
  <c r="M557" i="7"/>
  <c r="L557" i="7"/>
  <c r="R556" i="7"/>
  <c r="Q556" i="7"/>
  <c r="P556" i="7"/>
  <c r="O556" i="7"/>
  <c r="N556" i="7"/>
  <c r="M556" i="7"/>
  <c r="L556" i="7"/>
  <c r="R555" i="7"/>
  <c r="Q555" i="7"/>
  <c r="P555" i="7"/>
  <c r="O555" i="7"/>
  <c r="N555" i="7"/>
  <c r="M555" i="7"/>
  <c r="L555" i="7"/>
  <c r="R554" i="7"/>
  <c r="Q554" i="7"/>
  <c r="P554" i="7"/>
  <c r="O554" i="7"/>
  <c r="N554" i="7"/>
  <c r="M554" i="7"/>
  <c r="L554" i="7"/>
  <c r="R553" i="7"/>
  <c r="Q553" i="7"/>
  <c r="P553" i="7"/>
  <c r="O553" i="7"/>
  <c r="N553" i="7"/>
  <c r="M553" i="7"/>
  <c r="L553" i="7"/>
  <c r="R552" i="7"/>
  <c r="Q552" i="7"/>
  <c r="P552" i="7"/>
  <c r="O552" i="7"/>
  <c r="N552" i="7"/>
  <c r="M552" i="7"/>
  <c r="L552" i="7"/>
  <c r="R551" i="7"/>
  <c r="Q551" i="7"/>
  <c r="P551" i="7"/>
  <c r="O551" i="7"/>
  <c r="N551" i="7"/>
  <c r="M551" i="7"/>
  <c r="L551" i="7"/>
  <c r="R550" i="7"/>
  <c r="Q550" i="7"/>
  <c r="P550" i="7"/>
  <c r="O550" i="7"/>
  <c r="N550" i="7"/>
  <c r="M550" i="7"/>
  <c r="L550" i="7"/>
  <c r="R549" i="7"/>
  <c r="Q549" i="7"/>
  <c r="P549" i="7"/>
  <c r="O549" i="7"/>
  <c r="N549" i="7"/>
  <c r="M549" i="7"/>
  <c r="L549" i="7"/>
  <c r="R548" i="7"/>
  <c r="Q548" i="7"/>
  <c r="P548" i="7"/>
  <c r="O548" i="7"/>
  <c r="N548" i="7"/>
  <c r="M548" i="7"/>
  <c r="L548" i="7"/>
  <c r="R547" i="7"/>
  <c r="Q547" i="7"/>
  <c r="P547" i="7"/>
  <c r="O547" i="7"/>
  <c r="N547" i="7"/>
  <c r="M547" i="7"/>
  <c r="L547" i="7"/>
  <c r="R546" i="7"/>
  <c r="Q546" i="7"/>
  <c r="P546" i="7"/>
  <c r="O546" i="7"/>
  <c r="N546" i="7"/>
  <c r="M546" i="7"/>
  <c r="L546" i="7"/>
  <c r="R545" i="7"/>
  <c r="Q545" i="7"/>
  <c r="P545" i="7"/>
  <c r="O545" i="7"/>
  <c r="N545" i="7"/>
  <c r="M545" i="7"/>
  <c r="L545" i="7"/>
  <c r="R544" i="7"/>
  <c r="Q544" i="7"/>
  <c r="P544" i="7"/>
  <c r="O544" i="7"/>
  <c r="N544" i="7"/>
  <c r="M544" i="7"/>
  <c r="L544" i="7"/>
  <c r="R543" i="7"/>
  <c r="Q543" i="7"/>
  <c r="P543" i="7"/>
  <c r="O543" i="7"/>
  <c r="N543" i="7"/>
  <c r="M543" i="7"/>
  <c r="L543" i="7"/>
  <c r="R542" i="7"/>
  <c r="Q542" i="7"/>
  <c r="P542" i="7"/>
  <c r="O542" i="7"/>
  <c r="N542" i="7"/>
  <c r="M542" i="7"/>
  <c r="L542" i="7"/>
  <c r="R541" i="7"/>
  <c r="Q541" i="7"/>
  <c r="P541" i="7"/>
  <c r="O541" i="7"/>
  <c r="N541" i="7"/>
  <c r="M541" i="7"/>
  <c r="L541" i="7"/>
  <c r="R540" i="7"/>
  <c r="Q540" i="7"/>
  <c r="P540" i="7"/>
  <c r="O540" i="7"/>
  <c r="N540" i="7"/>
  <c r="M540" i="7"/>
  <c r="L540" i="7"/>
  <c r="R539" i="7"/>
  <c r="Q539" i="7"/>
  <c r="P539" i="7"/>
  <c r="O539" i="7"/>
  <c r="N539" i="7"/>
  <c r="M539" i="7"/>
  <c r="L539" i="7"/>
  <c r="R538" i="7"/>
  <c r="Q538" i="7"/>
  <c r="P538" i="7"/>
  <c r="O538" i="7"/>
  <c r="N538" i="7"/>
  <c r="M538" i="7"/>
  <c r="L538" i="7"/>
  <c r="R537" i="7"/>
  <c r="Q537" i="7"/>
  <c r="P537" i="7"/>
  <c r="O537" i="7"/>
  <c r="N537" i="7"/>
  <c r="M537" i="7"/>
  <c r="L537" i="7"/>
  <c r="R536" i="7"/>
  <c r="Q536" i="7"/>
  <c r="P536" i="7"/>
  <c r="O536" i="7"/>
  <c r="N536" i="7"/>
  <c r="M536" i="7"/>
  <c r="L536" i="7"/>
  <c r="R535" i="7"/>
  <c r="Q535" i="7"/>
  <c r="P535" i="7"/>
  <c r="O535" i="7"/>
  <c r="N535" i="7"/>
  <c r="M535" i="7"/>
  <c r="L535" i="7"/>
  <c r="R534" i="7"/>
  <c r="Q534" i="7"/>
  <c r="P534" i="7"/>
  <c r="O534" i="7"/>
  <c r="N534" i="7"/>
  <c r="M534" i="7"/>
  <c r="L534" i="7"/>
  <c r="R533" i="7"/>
  <c r="Q533" i="7"/>
  <c r="P533" i="7"/>
  <c r="O533" i="7"/>
  <c r="N533" i="7"/>
  <c r="M533" i="7"/>
  <c r="L533" i="7"/>
  <c r="R532" i="7"/>
  <c r="Q532" i="7"/>
  <c r="P532" i="7"/>
  <c r="O532" i="7"/>
  <c r="N532" i="7"/>
  <c r="M532" i="7"/>
  <c r="L532" i="7"/>
  <c r="R531" i="7"/>
  <c r="Q531" i="7"/>
  <c r="P531" i="7"/>
  <c r="O531" i="7"/>
  <c r="N531" i="7"/>
  <c r="M531" i="7"/>
  <c r="L531" i="7"/>
  <c r="R530" i="7"/>
  <c r="Q530" i="7"/>
  <c r="P530" i="7"/>
  <c r="O530" i="7"/>
  <c r="N530" i="7"/>
  <c r="M530" i="7"/>
  <c r="L530" i="7"/>
  <c r="R529" i="7"/>
  <c r="Q529" i="7"/>
  <c r="P529" i="7"/>
  <c r="O529" i="7"/>
  <c r="N529" i="7"/>
  <c r="M529" i="7"/>
  <c r="L529" i="7"/>
  <c r="R528" i="7"/>
  <c r="Q528" i="7"/>
  <c r="P528" i="7"/>
  <c r="O528" i="7"/>
  <c r="N528" i="7"/>
  <c r="M528" i="7"/>
  <c r="L528" i="7"/>
  <c r="R527" i="7"/>
  <c r="Q527" i="7"/>
  <c r="P527" i="7"/>
  <c r="O527" i="7"/>
  <c r="N527" i="7"/>
  <c r="M527" i="7"/>
  <c r="L527" i="7"/>
  <c r="R526" i="7"/>
  <c r="Q526" i="7"/>
  <c r="P526" i="7"/>
  <c r="O526" i="7"/>
  <c r="N526" i="7"/>
  <c r="M526" i="7"/>
  <c r="L526" i="7"/>
  <c r="R525" i="7"/>
  <c r="Q525" i="7"/>
  <c r="P525" i="7"/>
  <c r="O525" i="7"/>
  <c r="N525" i="7"/>
  <c r="M525" i="7"/>
  <c r="L525" i="7"/>
  <c r="R524" i="7"/>
  <c r="Q524" i="7"/>
  <c r="P524" i="7"/>
  <c r="O524" i="7"/>
  <c r="N524" i="7"/>
  <c r="M524" i="7"/>
  <c r="L524" i="7"/>
  <c r="R523" i="7"/>
  <c r="Q523" i="7"/>
  <c r="P523" i="7"/>
  <c r="O523" i="7"/>
  <c r="N523" i="7"/>
  <c r="M523" i="7"/>
  <c r="L523" i="7"/>
  <c r="R522" i="7"/>
  <c r="Q522" i="7"/>
  <c r="P522" i="7"/>
  <c r="O522" i="7"/>
  <c r="N522" i="7"/>
  <c r="M522" i="7"/>
  <c r="L522" i="7"/>
  <c r="R521" i="7"/>
  <c r="Q521" i="7"/>
  <c r="P521" i="7"/>
  <c r="O521" i="7"/>
  <c r="N521" i="7"/>
  <c r="M521" i="7"/>
  <c r="L521" i="7"/>
  <c r="R520" i="7"/>
  <c r="Q520" i="7"/>
  <c r="P520" i="7"/>
  <c r="O520" i="7"/>
  <c r="N520" i="7"/>
  <c r="M520" i="7"/>
  <c r="L520" i="7"/>
  <c r="R519" i="7"/>
  <c r="Q519" i="7"/>
  <c r="P519" i="7"/>
  <c r="O519" i="7"/>
  <c r="N519" i="7"/>
  <c r="M519" i="7"/>
  <c r="L519" i="7"/>
  <c r="R518" i="7"/>
  <c r="Q518" i="7"/>
  <c r="P518" i="7"/>
  <c r="O518" i="7"/>
  <c r="N518" i="7"/>
  <c r="M518" i="7"/>
  <c r="L518" i="7"/>
  <c r="R517" i="7"/>
  <c r="Q517" i="7"/>
  <c r="P517" i="7"/>
  <c r="O517" i="7"/>
  <c r="N517" i="7"/>
  <c r="M517" i="7"/>
  <c r="L517" i="7"/>
  <c r="R516" i="7"/>
  <c r="Q516" i="7"/>
  <c r="P516" i="7"/>
  <c r="O516" i="7"/>
  <c r="N516" i="7"/>
  <c r="M516" i="7"/>
  <c r="L516" i="7"/>
  <c r="R515" i="7"/>
  <c r="Q515" i="7"/>
  <c r="P515" i="7"/>
  <c r="O515" i="7"/>
  <c r="N515" i="7"/>
  <c r="M515" i="7"/>
  <c r="L515" i="7"/>
  <c r="R514" i="7"/>
  <c r="Q514" i="7"/>
  <c r="P514" i="7"/>
  <c r="O514" i="7"/>
  <c r="N514" i="7"/>
  <c r="M514" i="7"/>
  <c r="L514" i="7"/>
  <c r="R513" i="7"/>
  <c r="Q513" i="7"/>
  <c r="P513" i="7"/>
  <c r="O513" i="7"/>
  <c r="N513" i="7"/>
  <c r="M513" i="7"/>
  <c r="L513" i="7"/>
  <c r="R512" i="7"/>
  <c r="Q512" i="7"/>
  <c r="P512" i="7"/>
  <c r="O512" i="7"/>
  <c r="N512" i="7"/>
  <c r="M512" i="7"/>
  <c r="L512" i="7"/>
  <c r="R511" i="7"/>
  <c r="Q511" i="7"/>
  <c r="P511" i="7"/>
  <c r="O511" i="7"/>
  <c r="N511" i="7"/>
  <c r="M511" i="7"/>
  <c r="L511" i="7"/>
  <c r="R510" i="7"/>
  <c r="Q510" i="7"/>
  <c r="P510" i="7"/>
  <c r="O510" i="7"/>
  <c r="N510" i="7"/>
  <c r="M510" i="7"/>
  <c r="L510" i="7"/>
  <c r="R509" i="7"/>
  <c r="Q509" i="7"/>
  <c r="P509" i="7"/>
  <c r="O509" i="7"/>
  <c r="N509" i="7"/>
  <c r="M509" i="7"/>
  <c r="L509" i="7"/>
  <c r="R508" i="7"/>
  <c r="Q508" i="7"/>
  <c r="P508" i="7"/>
  <c r="O508" i="7"/>
  <c r="N508" i="7"/>
  <c r="M508" i="7"/>
  <c r="L508" i="7"/>
  <c r="R507" i="7"/>
  <c r="Q507" i="7"/>
  <c r="P507" i="7"/>
  <c r="O507" i="7"/>
  <c r="N507" i="7"/>
  <c r="M507" i="7"/>
  <c r="L507" i="7"/>
  <c r="R506" i="7"/>
  <c r="Q506" i="7"/>
  <c r="P506" i="7"/>
  <c r="O506" i="7"/>
  <c r="N506" i="7"/>
  <c r="M506" i="7"/>
  <c r="L506" i="7"/>
  <c r="R505" i="7"/>
  <c r="Q505" i="7"/>
  <c r="P505" i="7"/>
  <c r="O505" i="7"/>
  <c r="N505" i="7"/>
  <c r="M505" i="7"/>
  <c r="L505" i="7"/>
  <c r="R504" i="7"/>
  <c r="Q504" i="7"/>
  <c r="P504" i="7"/>
  <c r="O504" i="7"/>
  <c r="N504" i="7"/>
  <c r="M504" i="7"/>
  <c r="L504" i="7"/>
  <c r="R503" i="7"/>
  <c r="Q503" i="7"/>
  <c r="P503" i="7"/>
  <c r="O503" i="7"/>
  <c r="N503" i="7"/>
  <c r="M503" i="7"/>
  <c r="L503" i="7"/>
  <c r="R502" i="7"/>
  <c r="Q502" i="7"/>
  <c r="P502" i="7"/>
  <c r="O502" i="7"/>
  <c r="N502" i="7"/>
  <c r="M502" i="7"/>
  <c r="L502" i="7"/>
  <c r="R501" i="7"/>
  <c r="Q501" i="7"/>
  <c r="P501" i="7"/>
  <c r="O501" i="7"/>
  <c r="N501" i="7"/>
  <c r="M501" i="7"/>
  <c r="L501" i="7"/>
  <c r="R500" i="7"/>
  <c r="Q500" i="7"/>
  <c r="P500" i="7"/>
  <c r="O500" i="7"/>
  <c r="N500" i="7"/>
  <c r="M500" i="7"/>
  <c r="L500" i="7"/>
  <c r="R499" i="7"/>
  <c r="Q499" i="7"/>
  <c r="P499" i="7"/>
  <c r="O499" i="7"/>
  <c r="N499" i="7"/>
  <c r="M499" i="7"/>
  <c r="L499" i="7"/>
  <c r="R498" i="7"/>
  <c r="Q498" i="7"/>
  <c r="P498" i="7"/>
  <c r="O498" i="7"/>
  <c r="N498" i="7"/>
  <c r="M498" i="7"/>
  <c r="L498" i="7"/>
  <c r="R497" i="7"/>
  <c r="Q497" i="7"/>
  <c r="P497" i="7"/>
  <c r="O497" i="7"/>
  <c r="N497" i="7"/>
  <c r="M497" i="7"/>
  <c r="L497" i="7"/>
  <c r="R496" i="7"/>
  <c r="Q496" i="7"/>
  <c r="P496" i="7"/>
  <c r="O496" i="7"/>
  <c r="N496" i="7"/>
  <c r="M496" i="7"/>
  <c r="L496" i="7"/>
  <c r="R495" i="7"/>
  <c r="Q495" i="7"/>
  <c r="P495" i="7"/>
  <c r="O495" i="7"/>
  <c r="N495" i="7"/>
  <c r="M495" i="7"/>
  <c r="L495" i="7"/>
  <c r="R494" i="7"/>
  <c r="Q494" i="7"/>
  <c r="P494" i="7"/>
  <c r="O494" i="7"/>
  <c r="N494" i="7"/>
  <c r="M494" i="7"/>
  <c r="L494" i="7"/>
  <c r="R493" i="7"/>
  <c r="Q493" i="7"/>
  <c r="P493" i="7"/>
  <c r="O493" i="7"/>
  <c r="N493" i="7"/>
  <c r="M493" i="7"/>
  <c r="L493" i="7"/>
  <c r="R492" i="7"/>
  <c r="Q492" i="7"/>
  <c r="P492" i="7"/>
  <c r="O492" i="7"/>
  <c r="N492" i="7"/>
  <c r="M492" i="7"/>
  <c r="L492" i="7"/>
  <c r="R491" i="7"/>
  <c r="Q491" i="7"/>
  <c r="P491" i="7"/>
  <c r="O491" i="7"/>
  <c r="N491" i="7"/>
  <c r="M491" i="7"/>
  <c r="L491" i="7"/>
  <c r="R490" i="7"/>
  <c r="Q490" i="7"/>
  <c r="P490" i="7"/>
  <c r="O490" i="7"/>
  <c r="N490" i="7"/>
  <c r="M490" i="7"/>
  <c r="L490" i="7"/>
  <c r="R489" i="7"/>
  <c r="Q489" i="7"/>
  <c r="P489" i="7"/>
  <c r="O489" i="7"/>
  <c r="N489" i="7"/>
  <c r="M489" i="7"/>
  <c r="L489" i="7"/>
  <c r="R488" i="7"/>
  <c r="Q488" i="7"/>
  <c r="P488" i="7"/>
  <c r="O488" i="7"/>
  <c r="N488" i="7"/>
  <c r="M488" i="7"/>
  <c r="L488" i="7"/>
  <c r="R487" i="7"/>
  <c r="Q487" i="7"/>
  <c r="P487" i="7"/>
  <c r="O487" i="7"/>
  <c r="N487" i="7"/>
  <c r="M487" i="7"/>
  <c r="L487" i="7"/>
  <c r="R486" i="7"/>
  <c r="Q486" i="7"/>
  <c r="P486" i="7"/>
  <c r="O486" i="7"/>
  <c r="N486" i="7"/>
  <c r="M486" i="7"/>
  <c r="L486" i="7"/>
  <c r="R485" i="7"/>
  <c r="Q485" i="7"/>
  <c r="P485" i="7"/>
  <c r="O485" i="7"/>
  <c r="N485" i="7"/>
  <c r="M485" i="7"/>
  <c r="L485" i="7"/>
  <c r="R484" i="7"/>
  <c r="Q484" i="7"/>
  <c r="P484" i="7"/>
  <c r="O484" i="7"/>
  <c r="N484" i="7"/>
  <c r="M484" i="7"/>
  <c r="L484" i="7"/>
  <c r="R483" i="7"/>
  <c r="Q483" i="7"/>
  <c r="P483" i="7"/>
  <c r="O483" i="7"/>
  <c r="N483" i="7"/>
  <c r="M483" i="7"/>
  <c r="L483" i="7"/>
  <c r="R482" i="7"/>
  <c r="Q482" i="7"/>
  <c r="P482" i="7"/>
  <c r="O482" i="7"/>
  <c r="N482" i="7"/>
  <c r="M482" i="7"/>
  <c r="L482" i="7"/>
  <c r="R481" i="7"/>
  <c r="Q481" i="7"/>
  <c r="P481" i="7"/>
  <c r="O481" i="7"/>
  <c r="N481" i="7"/>
  <c r="M481" i="7"/>
  <c r="L481" i="7"/>
  <c r="R480" i="7"/>
  <c r="Q480" i="7"/>
  <c r="P480" i="7"/>
  <c r="O480" i="7"/>
  <c r="N480" i="7"/>
  <c r="M480" i="7"/>
  <c r="L480" i="7"/>
  <c r="R479" i="7"/>
  <c r="Q479" i="7"/>
  <c r="P479" i="7"/>
  <c r="O479" i="7"/>
  <c r="N479" i="7"/>
  <c r="M479" i="7"/>
  <c r="L479" i="7"/>
  <c r="R478" i="7"/>
  <c r="Q478" i="7"/>
  <c r="P478" i="7"/>
  <c r="O478" i="7"/>
  <c r="N478" i="7"/>
  <c r="M478" i="7"/>
  <c r="L478" i="7"/>
  <c r="R477" i="7"/>
  <c r="Q477" i="7"/>
  <c r="P477" i="7"/>
  <c r="O477" i="7"/>
  <c r="N477" i="7"/>
  <c r="M477" i="7"/>
  <c r="L477" i="7"/>
  <c r="R476" i="7"/>
  <c r="Q476" i="7"/>
  <c r="P476" i="7"/>
  <c r="O476" i="7"/>
  <c r="N476" i="7"/>
  <c r="M476" i="7"/>
  <c r="L476" i="7"/>
  <c r="R475" i="7"/>
  <c r="Q475" i="7"/>
  <c r="P475" i="7"/>
  <c r="O475" i="7"/>
  <c r="N475" i="7"/>
  <c r="M475" i="7"/>
  <c r="L475" i="7"/>
  <c r="R474" i="7"/>
  <c r="Q474" i="7"/>
  <c r="P474" i="7"/>
  <c r="O474" i="7"/>
  <c r="N474" i="7"/>
  <c r="M474" i="7"/>
  <c r="L474" i="7"/>
  <c r="R473" i="7"/>
  <c r="Q473" i="7"/>
  <c r="P473" i="7"/>
  <c r="O473" i="7"/>
  <c r="N473" i="7"/>
  <c r="M473" i="7"/>
  <c r="L473" i="7"/>
  <c r="R472" i="7"/>
  <c r="Q472" i="7"/>
  <c r="P472" i="7"/>
  <c r="O472" i="7"/>
  <c r="N472" i="7"/>
  <c r="M472" i="7"/>
  <c r="L472" i="7"/>
  <c r="R471" i="7"/>
  <c r="Q471" i="7"/>
  <c r="P471" i="7"/>
  <c r="O471" i="7"/>
  <c r="N471" i="7"/>
  <c r="M471" i="7"/>
  <c r="L471" i="7"/>
  <c r="R470" i="7"/>
  <c r="Q470" i="7"/>
  <c r="P470" i="7"/>
  <c r="O470" i="7"/>
  <c r="N470" i="7"/>
  <c r="M470" i="7"/>
  <c r="L470" i="7"/>
  <c r="R469" i="7"/>
  <c r="Q469" i="7"/>
  <c r="P469" i="7"/>
  <c r="O469" i="7"/>
  <c r="N469" i="7"/>
  <c r="M469" i="7"/>
  <c r="L469" i="7"/>
  <c r="R468" i="7"/>
  <c r="Q468" i="7"/>
  <c r="P468" i="7"/>
  <c r="O468" i="7"/>
  <c r="N468" i="7"/>
  <c r="M468" i="7"/>
  <c r="L468" i="7"/>
  <c r="R467" i="7"/>
  <c r="Q467" i="7"/>
  <c r="P467" i="7"/>
  <c r="O467" i="7"/>
  <c r="N467" i="7"/>
  <c r="M467" i="7"/>
  <c r="L467" i="7"/>
  <c r="R466" i="7"/>
  <c r="Q466" i="7"/>
  <c r="P466" i="7"/>
  <c r="O466" i="7"/>
  <c r="N466" i="7"/>
  <c r="M466" i="7"/>
  <c r="L466" i="7"/>
  <c r="R465" i="7"/>
  <c r="Q465" i="7"/>
  <c r="P465" i="7"/>
  <c r="O465" i="7"/>
  <c r="N465" i="7"/>
  <c r="M465" i="7"/>
  <c r="L465" i="7"/>
  <c r="R464" i="7"/>
  <c r="Q464" i="7"/>
  <c r="P464" i="7"/>
  <c r="O464" i="7"/>
  <c r="N464" i="7"/>
  <c r="M464" i="7"/>
  <c r="L464" i="7"/>
  <c r="R463" i="7"/>
  <c r="Q463" i="7"/>
  <c r="P463" i="7"/>
  <c r="O463" i="7"/>
  <c r="N463" i="7"/>
  <c r="M463" i="7"/>
  <c r="L463" i="7"/>
  <c r="R462" i="7"/>
  <c r="Q462" i="7"/>
  <c r="P462" i="7"/>
  <c r="O462" i="7"/>
  <c r="N462" i="7"/>
  <c r="M462" i="7"/>
  <c r="L462" i="7"/>
  <c r="R461" i="7"/>
  <c r="Q461" i="7"/>
  <c r="P461" i="7"/>
  <c r="O461" i="7"/>
  <c r="N461" i="7"/>
  <c r="M461" i="7"/>
  <c r="L461" i="7"/>
  <c r="R460" i="7"/>
  <c r="Q460" i="7"/>
  <c r="P460" i="7"/>
  <c r="O460" i="7"/>
  <c r="N460" i="7"/>
  <c r="M460" i="7"/>
  <c r="L460" i="7"/>
  <c r="R459" i="7"/>
  <c r="Q459" i="7"/>
  <c r="P459" i="7"/>
  <c r="O459" i="7"/>
  <c r="N459" i="7"/>
  <c r="M459" i="7"/>
  <c r="L459" i="7"/>
  <c r="R458" i="7"/>
  <c r="Q458" i="7"/>
  <c r="P458" i="7"/>
  <c r="O458" i="7"/>
  <c r="N458" i="7"/>
  <c r="M458" i="7"/>
  <c r="L458" i="7"/>
  <c r="R457" i="7"/>
  <c r="Q457" i="7"/>
  <c r="P457" i="7"/>
  <c r="O457" i="7"/>
  <c r="N457" i="7"/>
  <c r="M457" i="7"/>
  <c r="L457" i="7"/>
  <c r="R456" i="7"/>
  <c r="Q456" i="7"/>
  <c r="P456" i="7"/>
  <c r="O456" i="7"/>
  <c r="N456" i="7"/>
  <c r="M456" i="7"/>
  <c r="L456" i="7"/>
  <c r="R455" i="7"/>
  <c r="Q455" i="7"/>
  <c r="P455" i="7"/>
  <c r="O455" i="7"/>
  <c r="N455" i="7"/>
  <c r="M455" i="7"/>
  <c r="L455" i="7"/>
  <c r="R454" i="7"/>
  <c r="Q454" i="7"/>
  <c r="P454" i="7"/>
  <c r="O454" i="7"/>
  <c r="N454" i="7"/>
  <c r="M454" i="7"/>
  <c r="L454" i="7"/>
  <c r="R453" i="7"/>
  <c r="Q453" i="7"/>
  <c r="P453" i="7"/>
  <c r="O453" i="7"/>
  <c r="N453" i="7"/>
  <c r="M453" i="7"/>
  <c r="L453" i="7"/>
  <c r="R452" i="7"/>
  <c r="Q452" i="7"/>
  <c r="P452" i="7"/>
  <c r="O452" i="7"/>
  <c r="N452" i="7"/>
  <c r="M452" i="7"/>
  <c r="L452" i="7"/>
  <c r="R451" i="7"/>
  <c r="Q451" i="7"/>
  <c r="P451" i="7"/>
  <c r="O451" i="7"/>
  <c r="N451" i="7"/>
  <c r="M451" i="7"/>
  <c r="L451" i="7"/>
  <c r="R450" i="7"/>
  <c r="Q450" i="7"/>
  <c r="P450" i="7"/>
  <c r="O450" i="7"/>
  <c r="N450" i="7"/>
  <c r="M450" i="7"/>
  <c r="L450" i="7"/>
  <c r="R449" i="7"/>
  <c r="Q449" i="7"/>
  <c r="P449" i="7"/>
  <c r="O449" i="7"/>
  <c r="N449" i="7"/>
  <c r="M449" i="7"/>
  <c r="L449" i="7"/>
  <c r="R448" i="7"/>
  <c r="Q448" i="7"/>
  <c r="P448" i="7"/>
  <c r="O448" i="7"/>
  <c r="N448" i="7"/>
  <c r="M448" i="7"/>
  <c r="L448" i="7"/>
  <c r="R447" i="7"/>
  <c r="Q447" i="7"/>
  <c r="P447" i="7"/>
  <c r="O447" i="7"/>
  <c r="N447" i="7"/>
  <c r="M447" i="7"/>
  <c r="L447" i="7"/>
  <c r="R446" i="7"/>
  <c r="Q446" i="7"/>
  <c r="P446" i="7"/>
  <c r="O446" i="7"/>
  <c r="N446" i="7"/>
  <c r="M446" i="7"/>
  <c r="L446" i="7"/>
  <c r="R445" i="7"/>
  <c r="Q445" i="7"/>
  <c r="P445" i="7"/>
  <c r="O445" i="7"/>
  <c r="N445" i="7"/>
  <c r="M445" i="7"/>
  <c r="L445" i="7"/>
  <c r="R444" i="7"/>
  <c r="Q444" i="7"/>
  <c r="P444" i="7"/>
  <c r="O444" i="7"/>
  <c r="N444" i="7"/>
  <c r="M444" i="7"/>
  <c r="L444" i="7"/>
  <c r="R443" i="7"/>
  <c r="Q443" i="7"/>
  <c r="P443" i="7"/>
  <c r="O443" i="7"/>
  <c r="N443" i="7"/>
  <c r="M443" i="7"/>
  <c r="L443" i="7"/>
  <c r="R442" i="7"/>
  <c r="Q442" i="7"/>
  <c r="P442" i="7"/>
  <c r="O442" i="7"/>
  <c r="N442" i="7"/>
  <c r="M442" i="7"/>
  <c r="L442" i="7"/>
  <c r="R441" i="7"/>
  <c r="Q441" i="7"/>
  <c r="P441" i="7"/>
  <c r="O441" i="7"/>
  <c r="N441" i="7"/>
  <c r="M441" i="7"/>
  <c r="L441" i="7"/>
  <c r="R440" i="7"/>
  <c r="Q440" i="7"/>
  <c r="P440" i="7"/>
  <c r="O440" i="7"/>
  <c r="N440" i="7"/>
  <c r="M440" i="7"/>
  <c r="L440" i="7"/>
  <c r="R439" i="7"/>
  <c r="Q439" i="7"/>
  <c r="P439" i="7"/>
  <c r="O439" i="7"/>
  <c r="N439" i="7"/>
  <c r="M439" i="7"/>
  <c r="L439" i="7"/>
  <c r="R438" i="7"/>
  <c r="Q438" i="7"/>
  <c r="P438" i="7"/>
  <c r="O438" i="7"/>
  <c r="N438" i="7"/>
  <c r="M438" i="7"/>
  <c r="L438" i="7"/>
  <c r="R437" i="7"/>
  <c r="Q437" i="7"/>
  <c r="P437" i="7"/>
  <c r="O437" i="7"/>
  <c r="N437" i="7"/>
  <c r="M437" i="7"/>
  <c r="L437" i="7"/>
  <c r="R436" i="7"/>
  <c r="Q436" i="7"/>
  <c r="P436" i="7"/>
  <c r="O436" i="7"/>
  <c r="N436" i="7"/>
  <c r="M436" i="7"/>
  <c r="L436" i="7"/>
  <c r="R435" i="7"/>
  <c r="Q435" i="7"/>
  <c r="P435" i="7"/>
  <c r="O435" i="7"/>
  <c r="N435" i="7"/>
  <c r="M435" i="7"/>
  <c r="L435" i="7"/>
  <c r="R434" i="7"/>
  <c r="Q434" i="7"/>
  <c r="P434" i="7"/>
  <c r="O434" i="7"/>
  <c r="N434" i="7"/>
  <c r="M434" i="7"/>
  <c r="L434" i="7"/>
  <c r="R433" i="7"/>
  <c r="Q433" i="7"/>
  <c r="P433" i="7"/>
  <c r="O433" i="7"/>
  <c r="N433" i="7"/>
  <c r="M433" i="7"/>
  <c r="L433" i="7"/>
  <c r="R432" i="7"/>
  <c r="Q432" i="7"/>
  <c r="P432" i="7"/>
  <c r="O432" i="7"/>
  <c r="N432" i="7"/>
  <c r="M432" i="7"/>
  <c r="L432" i="7"/>
  <c r="R431" i="7"/>
  <c r="Q431" i="7"/>
  <c r="P431" i="7"/>
  <c r="O431" i="7"/>
  <c r="N431" i="7"/>
  <c r="M431" i="7"/>
  <c r="L431" i="7"/>
  <c r="R430" i="7"/>
  <c r="Q430" i="7"/>
  <c r="P430" i="7"/>
  <c r="O430" i="7"/>
  <c r="N430" i="7"/>
  <c r="M430" i="7"/>
  <c r="L430" i="7"/>
  <c r="R429" i="7"/>
  <c r="Q429" i="7"/>
  <c r="P429" i="7"/>
  <c r="O429" i="7"/>
  <c r="N429" i="7"/>
  <c r="M429" i="7"/>
  <c r="L429" i="7"/>
  <c r="R428" i="7"/>
  <c r="Q428" i="7"/>
  <c r="P428" i="7"/>
  <c r="O428" i="7"/>
  <c r="N428" i="7"/>
  <c r="M428" i="7"/>
  <c r="L428" i="7"/>
  <c r="R427" i="7"/>
  <c r="Q427" i="7"/>
  <c r="P427" i="7"/>
  <c r="O427" i="7"/>
  <c r="N427" i="7"/>
  <c r="M427" i="7"/>
  <c r="L427" i="7"/>
  <c r="R426" i="7"/>
  <c r="Q426" i="7"/>
  <c r="P426" i="7"/>
  <c r="O426" i="7"/>
  <c r="N426" i="7"/>
  <c r="M426" i="7"/>
  <c r="L426" i="7"/>
  <c r="R425" i="7"/>
  <c r="Q425" i="7"/>
  <c r="P425" i="7"/>
  <c r="O425" i="7"/>
  <c r="N425" i="7"/>
  <c r="M425" i="7"/>
  <c r="L425" i="7"/>
  <c r="R424" i="7"/>
  <c r="Q424" i="7"/>
  <c r="P424" i="7"/>
  <c r="O424" i="7"/>
  <c r="N424" i="7"/>
  <c r="M424" i="7"/>
  <c r="L424" i="7"/>
  <c r="R423" i="7"/>
  <c r="Q423" i="7"/>
  <c r="P423" i="7"/>
  <c r="O423" i="7"/>
  <c r="N423" i="7"/>
  <c r="M423" i="7"/>
  <c r="L423" i="7"/>
  <c r="R422" i="7"/>
  <c r="Q422" i="7"/>
  <c r="P422" i="7"/>
  <c r="O422" i="7"/>
  <c r="N422" i="7"/>
  <c r="M422" i="7"/>
  <c r="L422" i="7"/>
  <c r="R421" i="7"/>
  <c r="Q421" i="7"/>
  <c r="P421" i="7"/>
  <c r="O421" i="7"/>
  <c r="N421" i="7"/>
  <c r="M421" i="7"/>
  <c r="L421" i="7"/>
  <c r="R420" i="7"/>
  <c r="Q420" i="7"/>
  <c r="P420" i="7"/>
  <c r="O420" i="7"/>
  <c r="N420" i="7"/>
  <c r="M420" i="7"/>
  <c r="L420" i="7"/>
  <c r="R419" i="7"/>
  <c r="Q419" i="7"/>
  <c r="P419" i="7"/>
  <c r="O419" i="7"/>
  <c r="N419" i="7"/>
  <c r="M419" i="7"/>
  <c r="L419" i="7"/>
  <c r="R418" i="7"/>
  <c r="Q418" i="7"/>
  <c r="P418" i="7"/>
  <c r="O418" i="7"/>
  <c r="N418" i="7"/>
  <c r="M418" i="7"/>
  <c r="L418" i="7"/>
  <c r="R417" i="7"/>
  <c r="Q417" i="7"/>
  <c r="P417" i="7"/>
  <c r="O417" i="7"/>
  <c r="N417" i="7"/>
  <c r="M417" i="7"/>
  <c r="L417" i="7"/>
  <c r="R416" i="7"/>
  <c r="Q416" i="7"/>
  <c r="P416" i="7"/>
  <c r="O416" i="7"/>
  <c r="N416" i="7"/>
  <c r="M416" i="7"/>
  <c r="L416" i="7"/>
  <c r="R415" i="7"/>
  <c r="Q415" i="7"/>
  <c r="P415" i="7"/>
  <c r="O415" i="7"/>
  <c r="N415" i="7"/>
  <c r="M415" i="7"/>
  <c r="L415" i="7"/>
  <c r="R414" i="7"/>
  <c r="Q414" i="7"/>
  <c r="P414" i="7"/>
  <c r="O414" i="7"/>
  <c r="N414" i="7"/>
  <c r="M414" i="7"/>
  <c r="L414" i="7"/>
  <c r="R413" i="7"/>
  <c r="Q413" i="7"/>
  <c r="P413" i="7"/>
  <c r="O413" i="7"/>
  <c r="N413" i="7"/>
  <c r="M413" i="7"/>
  <c r="L413" i="7"/>
  <c r="R412" i="7"/>
  <c r="Q412" i="7"/>
  <c r="P412" i="7"/>
  <c r="O412" i="7"/>
  <c r="N412" i="7"/>
  <c r="M412" i="7"/>
  <c r="L412" i="7"/>
  <c r="R411" i="7"/>
  <c r="Q411" i="7"/>
  <c r="P411" i="7"/>
  <c r="O411" i="7"/>
  <c r="N411" i="7"/>
  <c r="M411" i="7"/>
  <c r="L411" i="7"/>
  <c r="R410" i="7"/>
  <c r="Q410" i="7"/>
  <c r="P410" i="7"/>
  <c r="O410" i="7"/>
  <c r="N410" i="7"/>
  <c r="M410" i="7"/>
  <c r="L410" i="7"/>
  <c r="R409" i="7"/>
  <c r="Q409" i="7"/>
  <c r="P409" i="7"/>
  <c r="O409" i="7"/>
  <c r="N409" i="7"/>
  <c r="M409" i="7"/>
  <c r="L409" i="7"/>
  <c r="R408" i="7"/>
  <c r="Q408" i="7"/>
  <c r="P408" i="7"/>
  <c r="O408" i="7"/>
  <c r="N408" i="7"/>
  <c r="M408" i="7"/>
  <c r="L408" i="7"/>
  <c r="R407" i="7"/>
  <c r="Q407" i="7"/>
  <c r="P407" i="7"/>
  <c r="O407" i="7"/>
  <c r="N407" i="7"/>
  <c r="M407" i="7"/>
  <c r="L407" i="7"/>
  <c r="R406" i="7"/>
  <c r="Q406" i="7"/>
  <c r="P406" i="7"/>
  <c r="O406" i="7"/>
  <c r="N406" i="7"/>
  <c r="M406" i="7"/>
  <c r="L406" i="7"/>
  <c r="R405" i="7"/>
  <c r="Q405" i="7"/>
  <c r="P405" i="7"/>
  <c r="O405" i="7"/>
  <c r="N405" i="7"/>
  <c r="M405" i="7"/>
  <c r="L405" i="7"/>
  <c r="R404" i="7"/>
  <c r="Q404" i="7"/>
  <c r="P404" i="7"/>
  <c r="O404" i="7"/>
  <c r="N404" i="7"/>
  <c r="M404" i="7"/>
  <c r="L404" i="7"/>
  <c r="R403" i="7"/>
  <c r="Q403" i="7"/>
  <c r="P403" i="7"/>
  <c r="O403" i="7"/>
  <c r="N403" i="7"/>
  <c r="M403" i="7"/>
  <c r="L403" i="7"/>
  <c r="R402" i="7"/>
  <c r="Q402" i="7"/>
  <c r="P402" i="7"/>
  <c r="O402" i="7"/>
  <c r="N402" i="7"/>
  <c r="M402" i="7"/>
  <c r="L402" i="7"/>
  <c r="R401" i="7"/>
  <c r="Q401" i="7"/>
  <c r="P401" i="7"/>
  <c r="O401" i="7"/>
  <c r="N401" i="7"/>
  <c r="M401" i="7"/>
  <c r="L401" i="7"/>
  <c r="R400" i="7"/>
  <c r="Q400" i="7"/>
  <c r="P400" i="7"/>
  <c r="O400" i="7"/>
  <c r="N400" i="7"/>
  <c r="M400" i="7"/>
  <c r="L400" i="7"/>
  <c r="R399" i="7"/>
  <c r="Q399" i="7"/>
  <c r="P399" i="7"/>
  <c r="O399" i="7"/>
  <c r="N399" i="7"/>
  <c r="M399" i="7"/>
  <c r="L399" i="7"/>
  <c r="R398" i="7"/>
  <c r="Q398" i="7"/>
  <c r="P398" i="7"/>
  <c r="O398" i="7"/>
  <c r="N398" i="7"/>
  <c r="M398" i="7"/>
  <c r="L398" i="7"/>
  <c r="R397" i="7"/>
  <c r="Q397" i="7"/>
  <c r="P397" i="7"/>
  <c r="O397" i="7"/>
  <c r="N397" i="7"/>
  <c r="M397" i="7"/>
  <c r="L397" i="7"/>
  <c r="R396" i="7"/>
  <c r="Q396" i="7"/>
  <c r="P396" i="7"/>
  <c r="O396" i="7"/>
  <c r="N396" i="7"/>
  <c r="M396" i="7"/>
  <c r="L396" i="7"/>
  <c r="R395" i="7"/>
  <c r="Q395" i="7"/>
  <c r="P395" i="7"/>
  <c r="O395" i="7"/>
  <c r="N395" i="7"/>
  <c r="M395" i="7"/>
  <c r="L395" i="7"/>
  <c r="R394" i="7"/>
  <c r="Q394" i="7"/>
  <c r="P394" i="7"/>
  <c r="O394" i="7"/>
  <c r="N394" i="7"/>
  <c r="M394" i="7"/>
  <c r="L394" i="7"/>
  <c r="R393" i="7"/>
  <c r="Q393" i="7"/>
  <c r="P393" i="7"/>
  <c r="O393" i="7"/>
  <c r="N393" i="7"/>
  <c r="M393" i="7"/>
  <c r="L393" i="7"/>
  <c r="R392" i="7"/>
  <c r="Q392" i="7"/>
  <c r="P392" i="7"/>
  <c r="O392" i="7"/>
  <c r="N392" i="7"/>
  <c r="M392" i="7"/>
  <c r="L392" i="7"/>
  <c r="R391" i="7"/>
  <c r="Q391" i="7"/>
  <c r="P391" i="7"/>
  <c r="O391" i="7"/>
  <c r="N391" i="7"/>
  <c r="M391" i="7"/>
  <c r="L391" i="7"/>
  <c r="R390" i="7"/>
  <c r="Q390" i="7"/>
  <c r="P390" i="7"/>
  <c r="O390" i="7"/>
  <c r="N390" i="7"/>
  <c r="M390" i="7"/>
  <c r="L390" i="7"/>
  <c r="R389" i="7"/>
  <c r="Q389" i="7"/>
  <c r="P389" i="7"/>
  <c r="O389" i="7"/>
  <c r="N389" i="7"/>
  <c r="M389" i="7"/>
  <c r="L389" i="7"/>
  <c r="R388" i="7"/>
  <c r="Q388" i="7"/>
  <c r="P388" i="7"/>
  <c r="O388" i="7"/>
  <c r="N388" i="7"/>
  <c r="M388" i="7"/>
  <c r="L388" i="7"/>
  <c r="R387" i="7"/>
  <c r="Q387" i="7"/>
  <c r="P387" i="7"/>
  <c r="O387" i="7"/>
  <c r="N387" i="7"/>
  <c r="M387" i="7"/>
  <c r="L387" i="7"/>
  <c r="R386" i="7"/>
  <c r="Q386" i="7"/>
  <c r="P386" i="7"/>
  <c r="O386" i="7"/>
  <c r="N386" i="7"/>
  <c r="M386" i="7"/>
  <c r="L386" i="7"/>
  <c r="R385" i="7"/>
  <c r="Q385" i="7"/>
  <c r="P385" i="7"/>
  <c r="O385" i="7"/>
  <c r="N385" i="7"/>
  <c r="M385" i="7"/>
  <c r="L385" i="7"/>
  <c r="R384" i="7"/>
  <c r="Q384" i="7"/>
  <c r="P384" i="7"/>
  <c r="O384" i="7"/>
  <c r="N384" i="7"/>
  <c r="M384" i="7"/>
  <c r="L384" i="7"/>
  <c r="R383" i="7"/>
  <c r="Q383" i="7"/>
  <c r="P383" i="7"/>
  <c r="O383" i="7"/>
  <c r="N383" i="7"/>
  <c r="M383" i="7"/>
  <c r="L383" i="7"/>
  <c r="R382" i="7"/>
  <c r="Q382" i="7"/>
  <c r="P382" i="7"/>
  <c r="O382" i="7"/>
  <c r="N382" i="7"/>
  <c r="M382" i="7"/>
  <c r="L382" i="7"/>
  <c r="R381" i="7"/>
  <c r="Q381" i="7"/>
  <c r="P381" i="7"/>
  <c r="O381" i="7"/>
  <c r="N381" i="7"/>
  <c r="M381" i="7"/>
  <c r="L381" i="7"/>
  <c r="R380" i="7"/>
  <c r="Q380" i="7"/>
  <c r="P380" i="7"/>
  <c r="O380" i="7"/>
  <c r="N380" i="7"/>
  <c r="M380" i="7"/>
  <c r="L380" i="7"/>
  <c r="R379" i="7"/>
  <c r="Q379" i="7"/>
  <c r="P379" i="7"/>
  <c r="O379" i="7"/>
  <c r="N379" i="7"/>
  <c r="M379" i="7"/>
  <c r="L379" i="7"/>
  <c r="R378" i="7"/>
  <c r="Q378" i="7"/>
  <c r="P378" i="7"/>
  <c r="O378" i="7"/>
  <c r="N378" i="7"/>
  <c r="M378" i="7"/>
  <c r="L378" i="7"/>
  <c r="R377" i="7"/>
  <c r="Q377" i="7"/>
  <c r="P377" i="7"/>
  <c r="O377" i="7"/>
  <c r="N377" i="7"/>
  <c r="M377" i="7"/>
  <c r="L377" i="7"/>
  <c r="R376" i="7"/>
  <c r="Q376" i="7"/>
  <c r="P376" i="7"/>
  <c r="O376" i="7"/>
  <c r="N376" i="7"/>
  <c r="M376" i="7"/>
  <c r="L376" i="7"/>
  <c r="R375" i="7"/>
  <c r="Q375" i="7"/>
  <c r="P375" i="7"/>
  <c r="O375" i="7"/>
  <c r="N375" i="7"/>
  <c r="M375" i="7"/>
  <c r="L375" i="7"/>
  <c r="R374" i="7"/>
  <c r="Q374" i="7"/>
  <c r="P374" i="7"/>
  <c r="O374" i="7"/>
  <c r="N374" i="7"/>
  <c r="M374" i="7"/>
  <c r="L374" i="7"/>
  <c r="R373" i="7"/>
  <c r="Q373" i="7"/>
  <c r="P373" i="7"/>
  <c r="O373" i="7"/>
  <c r="N373" i="7"/>
  <c r="M373" i="7"/>
  <c r="L373" i="7"/>
  <c r="R372" i="7"/>
  <c r="Q372" i="7"/>
  <c r="P372" i="7"/>
  <c r="O372" i="7"/>
  <c r="N372" i="7"/>
  <c r="M372" i="7"/>
  <c r="L372" i="7"/>
  <c r="R371" i="7"/>
  <c r="Q371" i="7"/>
  <c r="P371" i="7"/>
  <c r="O371" i="7"/>
  <c r="N371" i="7"/>
  <c r="M371" i="7"/>
  <c r="L371" i="7"/>
  <c r="R370" i="7"/>
  <c r="Q370" i="7"/>
  <c r="P370" i="7"/>
  <c r="O370" i="7"/>
  <c r="N370" i="7"/>
  <c r="M370" i="7"/>
  <c r="L370" i="7"/>
  <c r="R369" i="7"/>
  <c r="Q369" i="7"/>
  <c r="P369" i="7"/>
  <c r="O369" i="7"/>
  <c r="N369" i="7"/>
  <c r="M369" i="7"/>
  <c r="L369" i="7"/>
  <c r="R368" i="7"/>
  <c r="Q368" i="7"/>
  <c r="P368" i="7"/>
  <c r="O368" i="7"/>
  <c r="N368" i="7"/>
  <c r="M368" i="7"/>
  <c r="L368" i="7"/>
  <c r="R367" i="7"/>
  <c r="Q367" i="7"/>
  <c r="P367" i="7"/>
  <c r="O367" i="7"/>
  <c r="N367" i="7"/>
  <c r="M367" i="7"/>
  <c r="L367" i="7"/>
  <c r="R366" i="7"/>
  <c r="Q366" i="7"/>
  <c r="P366" i="7"/>
  <c r="O366" i="7"/>
  <c r="N366" i="7"/>
  <c r="M366" i="7"/>
  <c r="L366" i="7"/>
  <c r="R365" i="7"/>
  <c r="Q365" i="7"/>
  <c r="P365" i="7"/>
  <c r="O365" i="7"/>
  <c r="N365" i="7"/>
  <c r="M365" i="7"/>
  <c r="L365" i="7"/>
  <c r="R364" i="7"/>
  <c r="Q364" i="7"/>
  <c r="P364" i="7"/>
  <c r="O364" i="7"/>
  <c r="N364" i="7"/>
  <c r="M364" i="7"/>
  <c r="L364" i="7"/>
  <c r="R363" i="7"/>
  <c r="Q363" i="7"/>
  <c r="P363" i="7"/>
  <c r="O363" i="7"/>
  <c r="N363" i="7"/>
  <c r="M363" i="7"/>
  <c r="L363" i="7"/>
  <c r="R362" i="7"/>
  <c r="Q362" i="7"/>
  <c r="P362" i="7"/>
  <c r="O362" i="7"/>
  <c r="N362" i="7"/>
  <c r="M362" i="7"/>
  <c r="L362" i="7"/>
  <c r="R361" i="7"/>
  <c r="Q361" i="7"/>
  <c r="P361" i="7"/>
  <c r="O361" i="7"/>
  <c r="N361" i="7"/>
  <c r="M361" i="7"/>
  <c r="L361" i="7"/>
  <c r="R360" i="7"/>
  <c r="Q360" i="7"/>
  <c r="P360" i="7"/>
  <c r="O360" i="7"/>
  <c r="N360" i="7"/>
  <c r="M360" i="7"/>
  <c r="L360" i="7"/>
  <c r="R359" i="7"/>
  <c r="Q359" i="7"/>
  <c r="P359" i="7"/>
  <c r="O359" i="7"/>
  <c r="N359" i="7"/>
  <c r="M359" i="7"/>
  <c r="L359" i="7"/>
  <c r="R358" i="7"/>
  <c r="Q358" i="7"/>
  <c r="P358" i="7"/>
  <c r="O358" i="7"/>
  <c r="N358" i="7"/>
  <c r="M358" i="7"/>
  <c r="L358" i="7"/>
  <c r="R357" i="7"/>
  <c r="Q357" i="7"/>
  <c r="P357" i="7"/>
  <c r="O357" i="7"/>
  <c r="N357" i="7"/>
  <c r="M357" i="7"/>
  <c r="L357" i="7"/>
  <c r="R356" i="7"/>
  <c r="Q356" i="7"/>
  <c r="P356" i="7"/>
  <c r="O356" i="7"/>
  <c r="N356" i="7"/>
  <c r="M356" i="7"/>
  <c r="L356" i="7"/>
  <c r="R355" i="7"/>
  <c r="Q355" i="7"/>
  <c r="P355" i="7"/>
  <c r="O355" i="7"/>
  <c r="N355" i="7"/>
  <c r="M355" i="7"/>
  <c r="L355" i="7"/>
  <c r="R354" i="7"/>
  <c r="Q354" i="7"/>
  <c r="P354" i="7"/>
  <c r="O354" i="7"/>
  <c r="N354" i="7"/>
  <c r="M354" i="7"/>
  <c r="L354" i="7"/>
  <c r="R353" i="7"/>
  <c r="Q353" i="7"/>
  <c r="P353" i="7"/>
  <c r="O353" i="7"/>
  <c r="N353" i="7"/>
  <c r="M353" i="7"/>
  <c r="L353" i="7"/>
  <c r="R352" i="7"/>
  <c r="Q352" i="7"/>
  <c r="P352" i="7"/>
  <c r="O352" i="7"/>
  <c r="N352" i="7"/>
  <c r="M352" i="7"/>
  <c r="L352" i="7"/>
  <c r="R351" i="7"/>
  <c r="Q351" i="7"/>
  <c r="P351" i="7"/>
  <c r="O351" i="7"/>
  <c r="N351" i="7"/>
  <c r="M351" i="7"/>
  <c r="L351" i="7"/>
  <c r="R350" i="7"/>
  <c r="Q350" i="7"/>
  <c r="P350" i="7"/>
  <c r="O350" i="7"/>
  <c r="N350" i="7"/>
  <c r="M350" i="7"/>
  <c r="L350" i="7"/>
  <c r="R349" i="7"/>
  <c r="Q349" i="7"/>
  <c r="P349" i="7"/>
  <c r="O349" i="7"/>
  <c r="N349" i="7"/>
  <c r="M349" i="7"/>
  <c r="L349" i="7"/>
  <c r="R348" i="7"/>
  <c r="Q348" i="7"/>
  <c r="P348" i="7"/>
  <c r="O348" i="7"/>
  <c r="N348" i="7"/>
  <c r="M348" i="7"/>
  <c r="L348" i="7"/>
  <c r="R347" i="7"/>
  <c r="Q347" i="7"/>
  <c r="P347" i="7"/>
  <c r="O347" i="7"/>
  <c r="N347" i="7"/>
  <c r="M347" i="7"/>
  <c r="L347" i="7"/>
  <c r="R346" i="7"/>
  <c r="Q346" i="7"/>
  <c r="P346" i="7"/>
  <c r="O346" i="7"/>
  <c r="N346" i="7"/>
  <c r="M346" i="7"/>
  <c r="L346" i="7"/>
  <c r="R345" i="7"/>
  <c r="Q345" i="7"/>
  <c r="P345" i="7"/>
  <c r="O345" i="7"/>
  <c r="N345" i="7"/>
  <c r="M345" i="7"/>
  <c r="L345" i="7"/>
  <c r="R344" i="7"/>
  <c r="Q344" i="7"/>
  <c r="P344" i="7"/>
  <c r="O344" i="7"/>
  <c r="N344" i="7"/>
  <c r="M344" i="7"/>
  <c r="L344" i="7"/>
  <c r="R343" i="7"/>
  <c r="Q343" i="7"/>
  <c r="P343" i="7"/>
  <c r="O343" i="7"/>
  <c r="N343" i="7"/>
  <c r="M343" i="7"/>
  <c r="L343" i="7"/>
  <c r="R342" i="7"/>
  <c r="Q342" i="7"/>
  <c r="P342" i="7"/>
  <c r="O342" i="7"/>
  <c r="N342" i="7"/>
  <c r="M342" i="7"/>
  <c r="L342" i="7"/>
  <c r="R341" i="7"/>
  <c r="Q341" i="7"/>
  <c r="P341" i="7"/>
  <c r="O341" i="7"/>
  <c r="N341" i="7"/>
  <c r="M341" i="7"/>
  <c r="L341" i="7"/>
  <c r="R340" i="7"/>
  <c r="Q340" i="7"/>
  <c r="P340" i="7"/>
  <c r="O340" i="7"/>
  <c r="N340" i="7"/>
  <c r="M340" i="7"/>
  <c r="L340" i="7"/>
  <c r="R339" i="7"/>
  <c r="Q339" i="7"/>
  <c r="P339" i="7"/>
  <c r="O339" i="7"/>
  <c r="N339" i="7"/>
  <c r="M339" i="7"/>
  <c r="L339" i="7"/>
  <c r="R338" i="7"/>
  <c r="Q338" i="7"/>
  <c r="P338" i="7"/>
  <c r="O338" i="7"/>
  <c r="N338" i="7"/>
  <c r="M338" i="7"/>
  <c r="L338" i="7"/>
  <c r="R337" i="7"/>
  <c r="Q337" i="7"/>
  <c r="P337" i="7"/>
  <c r="O337" i="7"/>
  <c r="N337" i="7"/>
  <c r="M337" i="7"/>
  <c r="L337" i="7"/>
  <c r="R336" i="7"/>
  <c r="Q336" i="7"/>
  <c r="P336" i="7"/>
  <c r="O336" i="7"/>
  <c r="N336" i="7"/>
  <c r="M336" i="7"/>
  <c r="L336" i="7"/>
  <c r="R335" i="7"/>
  <c r="Q335" i="7"/>
  <c r="P335" i="7"/>
  <c r="O335" i="7"/>
  <c r="N335" i="7"/>
  <c r="M335" i="7"/>
  <c r="L335" i="7"/>
  <c r="R334" i="7"/>
  <c r="Q334" i="7"/>
  <c r="P334" i="7"/>
  <c r="O334" i="7"/>
  <c r="N334" i="7"/>
  <c r="M334" i="7"/>
  <c r="L334" i="7"/>
  <c r="R333" i="7"/>
  <c r="Q333" i="7"/>
  <c r="P333" i="7"/>
  <c r="O333" i="7"/>
  <c r="N333" i="7"/>
  <c r="M333" i="7"/>
  <c r="L333" i="7"/>
  <c r="R332" i="7"/>
  <c r="Q332" i="7"/>
  <c r="P332" i="7"/>
  <c r="O332" i="7"/>
  <c r="N332" i="7"/>
  <c r="M332" i="7"/>
  <c r="L332" i="7"/>
  <c r="R331" i="7"/>
  <c r="Q331" i="7"/>
  <c r="P331" i="7"/>
  <c r="O331" i="7"/>
  <c r="N331" i="7"/>
  <c r="M331" i="7"/>
  <c r="L331" i="7"/>
  <c r="R330" i="7"/>
  <c r="Q330" i="7"/>
  <c r="P330" i="7"/>
  <c r="O330" i="7"/>
  <c r="N330" i="7"/>
  <c r="M330" i="7"/>
  <c r="L330" i="7"/>
  <c r="R329" i="7"/>
  <c r="Q329" i="7"/>
  <c r="P329" i="7"/>
  <c r="O329" i="7"/>
  <c r="N329" i="7"/>
  <c r="M329" i="7"/>
  <c r="L329" i="7"/>
  <c r="R328" i="7"/>
  <c r="Q328" i="7"/>
  <c r="P328" i="7"/>
  <c r="O328" i="7"/>
  <c r="N328" i="7"/>
  <c r="M328" i="7"/>
  <c r="L328" i="7"/>
  <c r="R327" i="7"/>
  <c r="Q327" i="7"/>
  <c r="P327" i="7"/>
  <c r="O327" i="7"/>
  <c r="N327" i="7"/>
  <c r="M327" i="7"/>
  <c r="L327" i="7"/>
  <c r="R326" i="7"/>
  <c r="Q326" i="7"/>
  <c r="P326" i="7"/>
  <c r="O326" i="7"/>
  <c r="N326" i="7"/>
  <c r="M326" i="7"/>
  <c r="L326" i="7"/>
  <c r="R325" i="7"/>
  <c r="Q325" i="7"/>
  <c r="P325" i="7"/>
  <c r="O325" i="7"/>
  <c r="N325" i="7"/>
  <c r="M325" i="7"/>
  <c r="L325" i="7"/>
  <c r="R324" i="7"/>
  <c r="Q324" i="7"/>
  <c r="P324" i="7"/>
  <c r="O324" i="7"/>
  <c r="N324" i="7"/>
  <c r="M324" i="7"/>
  <c r="L324" i="7"/>
  <c r="R323" i="7"/>
  <c r="Q323" i="7"/>
  <c r="P323" i="7"/>
  <c r="O323" i="7"/>
  <c r="N323" i="7"/>
  <c r="M323" i="7"/>
  <c r="L323" i="7"/>
  <c r="R322" i="7"/>
  <c r="Q322" i="7"/>
  <c r="P322" i="7"/>
  <c r="O322" i="7"/>
  <c r="N322" i="7"/>
  <c r="M322" i="7"/>
  <c r="L322" i="7"/>
  <c r="R321" i="7"/>
  <c r="Q321" i="7"/>
  <c r="P321" i="7"/>
  <c r="O321" i="7"/>
  <c r="N321" i="7"/>
  <c r="M321" i="7"/>
  <c r="L321" i="7"/>
  <c r="R320" i="7"/>
  <c r="Q320" i="7"/>
  <c r="P320" i="7"/>
  <c r="O320" i="7"/>
  <c r="N320" i="7"/>
  <c r="M320" i="7"/>
  <c r="L320" i="7"/>
  <c r="R319" i="7"/>
  <c r="Q319" i="7"/>
  <c r="P319" i="7"/>
  <c r="O319" i="7"/>
  <c r="N319" i="7"/>
  <c r="M319" i="7"/>
  <c r="L319" i="7"/>
  <c r="R318" i="7"/>
  <c r="Q318" i="7"/>
  <c r="P318" i="7"/>
  <c r="O318" i="7"/>
  <c r="N318" i="7"/>
  <c r="M318" i="7"/>
  <c r="L318" i="7"/>
  <c r="R317" i="7"/>
  <c r="Q317" i="7"/>
  <c r="P317" i="7"/>
  <c r="O317" i="7"/>
  <c r="N317" i="7"/>
  <c r="M317" i="7"/>
  <c r="L317" i="7"/>
  <c r="R316" i="7"/>
  <c r="Q316" i="7"/>
  <c r="P316" i="7"/>
  <c r="O316" i="7"/>
  <c r="N316" i="7"/>
  <c r="M316" i="7"/>
  <c r="L316" i="7"/>
  <c r="R315" i="7"/>
  <c r="Q315" i="7"/>
  <c r="P315" i="7"/>
  <c r="O315" i="7"/>
  <c r="N315" i="7"/>
  <c r="M315" i="7"/>
  <c r="L315" i="7"/>
  <c r="R314" i="7"/>
  <c r="Q314" i="7"/>
  <c r="P314" i="7"/>
  <c r="O314" i="7"/>
  <c r="N314" i="7"/>
  <c r="M314" i="7"/>
  <c r="L314" i="7"/>
  <c r="R313" i="7"/>
  <c r="Q313" i="7"/>
  <c r="P313" i="7"/>
  <c r="O313" i="7"/>
  <c r="N313" i="7"/>
  <c r="M313" i="7"/>
  <c r="L313" i="7"/>
  <c r="R312" i="7"/>
  <c r="Q312" i="7"/>
  <c r="P312" i="7"/>
  <c r="O312" i="7"/>
  <c r="N312" i="7"/>
  <c r="M312" i="7"/>
  <c r="L312" i="7"/>
  <c r="R311" i="7"/>
  <c r="Q311" i="7"/>
  <c r="P311" i="7"/>
  <c r="O311" i="7"/>
  <c r="N311" i="7"/>
  <c r="M311" i="7"/>
  <c r="L311" i="7"/>
  <c r="R310" i="7"/>
  <c r="Q310" i="7"/>
  <c r="P310" i="7"/>
  <c r="O310" i="7"/>
  <c r="N310" i="7"/>
  <c r="M310" i="7"/>
  <c r="L310" i="7"/>
  <c r="R309" i="7"/>
  <c r="Q309" i="7"/>
  <c r="P309" i="7"/>
  <c r="O309" i="7"/>
  <c r="N309" i="7"/>
  <c r="M309" i="7"/>
  <c r="L309" i="7"/>
  <c r="R308" i="7"/>
  <c r="Q308" i="7"/>
  <c r="P308" i="7"/>
  <c r="O308" i="7"/>
  <c r="N308" i="7"/>
  <c r="M308" i="7"/>
  <c r="L308" i="7"/>
  <c r="R307" i="7"/>
  <c r="Q307" i="7"/>
  <c r="P307" i="7"/>
  <c r="O307" i="7"/>
  <c r="N307" i="7"/>
  <c r="M307" i="7"/>
  <c r="L307" i="7"/>
  <c r="R306" i="7"/>
  <c r="Q306" i="7"/>
  <c r="P306" i="7"/>
  <c r="O306" i="7"/>
  <c r="N306" i="7"/>
  <c r="M306" i="7"/>
  <c r="L306" i="7"/>
  <c r="R305" i="7"/>
  <c r="Q305" i="7"/>
  <c r="P305" i="7"/>
  <c r="O305" i="7"/>
  <c r="N305" i="7"/>
  <c r="M305" i="7"/>
  <c r="L305" i="7"/>
  <c r="R304" i="7"/>
  <c r="Q304" i="7"/>
  <c r="P304" i="7"/>
  <c r="O304" i="7"/>
  <c r="N304" i="7"/>
  <c r="M304" i="7"/>
  <c r="L304" i="7"/>
  <c r="R303" i="7"/>
  <c r="Q303" i="7"/>
  <c r="P303" i="7"/>
  <c r="O303" i="7"/>
  <c r="N303" i="7"/>
  <c r="M303" i="7"/>
  <c r="L303" i="7"/>
  <c r="R302" i="7"/>
  <c r="Q302" i="7"/>
  <c r="P302" i="7"/>
  <c r="O302" i="7"/>
  <c r="N302" i="7"/>
  <c r="M302" i="7"/>
  <c r="L302" i="7"/>
  <c r="R301" i="7"/>
  <c r="Q301" i="7"/>
  <c r="P301" i="7"/>
  <c r="O301" i="7"/>
  <c r="N301" i="7"/>
  <c r="M301" i="7"/>
  <c r="L301" i="7"/>
  <c r="R300" i="7"/>
  <c r="Q300" i="7"/>
  <c r="P300" i="7"/>
  <c r="O300" i="7"/>
  <c r="N300" i="7"/>
  <c r="M300" i="7"/>
  <c r="L300" i="7"/>
  <c r="R299" i="7"/>
  <c r="Q299" i="7"/>
  <c r="P299" i="7"/>
  <c r="O299" i="7"/>
  <c r="N299" i="7"/>
  <c r="M299" i="7"/>
  <c r="L299" i="7"/>
  <c r="R298" i="7"/>
  <c r="Q298" i="7"/>
  <c r="P298" i="7"/>
  <c r="O298" i="7"/>
  <c r="N298" i="7"/>
  <c r="M298" i="7"/>
  <c r="L298" i="7"/>
  <c r="R297" i="7"/>
  <c r="Q297" i="7"/>
  <c r="P297" i="7"/>
  <c r="O297" i="7"/>
  <c r="N297" i="7"/>
  <c r="M297" i="7"/>
  <c r="L297" i="7"/>
  <c r="R296" i="7"/>
  <c r="Q296" i="7"/>
  <c r="P296" i="7"/>
  <c r="O296" i="7"/>
  <c r="N296" i="7"/>
  <c r="M296" i="7"/>
  <c r="L296" i="7"/>
  <c r="R295" i="7"/>
  <c r="Q295" i="7"/>
  <c r="P295" i="7"/>
  <c r="O295" i="7"/>
  <c r="N295" i="7"/>
  <c r="M295" i="7"/>
  <c r="L295" i="7"/>
  <c r="R294" i="7"/>
  <c r="Q294" i="7"/>
  <c r="P294" i="7"/>
  <c r="O294" i="7"/>
  <c r="N294" i="7"/>
  <c r="M294" i="7"/>
  <c r="L294" i="7"/>
  <c r="R293" i="7"/>
  <c r="Q293" i="7"/>
  <c r="P293" i="7"/>
  <c r="O293" i="7"/>
  <c r="N293" i="7"/>
  <c r="M293" i="7"/>
  <c r="L293" i="7"/>
  <c r="R292" i="7"/>
  <c r="Q292" i="7"/>
  <c r="P292" i="7"/>
  <c r="O292" i="7"/>
  <c r="N292" i="7"/>
  <c r="M292" i="7"/>
  <c r="L292" i="7"/>
  <c r="R291" i="7"/>
  <c r="Q291" i="7"/>
  <c r="P291" i="7"/>
  <c r="O291" i="7"/>
  <c r="N291" i="7"/>
  <c r="M291" i="7"/>
  <c r="L291" i="7"/>
  <c r="R290" i="7"/>
  <c r="Q290" i="7"/>
  <c r="P290" i="7"/>
  <c r="O290" i="7"/>
  <c r="N290" i="7"/>
  <c r="M290" i="7"/>
  <c r="L290" i="7"/>
  <c r="R289" i="7"/>
  <c r="Q289" i="7"/>
  <c r="P289" i="7"/>
  <c r="O289" i="7"/>
  <c r="N289" i="7"/>
  <c r="M289" i="7"/>
  <c r="L289" i="7"/>
  <c r="R288" i="7"/>
  <c r="Q288" i="7"/>
  <c r="P288" i="7"/>
  <c r="O288" i="7"/>
  <c r="N288" i="7"/>
  <c r="M288" i="7"/>
  <c r="L288" i="7"/>
  <c r="R287" i="7"/>
  <c r="Q287" i="7"/>
  <c r="P287" i="7"/>
  <c r="O287" i="7"/>
  <c r="N287" i="7"/>
  <c r="M287" i="7"/>
  <c r="L287" i="7"/>
  <c r="R286" i="7"/>
  <c r="Q286" i="7"/>
  <c r="P286" i="7"/>
  <c r="O286" i="7"/>
  <c r="N286" i="7"/>
  <c r="M286" i="7"/>
  <c r="L286" i="7"/>
  <c r="R285" i="7"/>
  <c r="Q285" i="7"/>
  <c r="P285" i="7"/>
  <c r="O285" i="7"/>
  <c r="N285" i="7"/>
  <c r="M285" i="7"/>
  <c r="L285" i="7"/>
  <c r="R284" i="7"/>
  <c r="Q284" i="7"/>
  <c r="P284" i="7"/>
  <c r="O284" i="7"/>
  <c r="N284" i="7"/>
  <c r="M284" i="7"/>
  <c r="L284" i="7"/>
  <c r="R283" i="7"/>
  <c r="Q283" i="7"/>
  <c r="P283" i="7"/>
  <c r="O283" i="7"/>
  <c r="N283" i="7"/>
  <c r="M283" i="7"/>
  <c r="L283" i="7"/>
  <c r="R282" i="7"/>
  <c r="Q282" i="7"/>
  <c r="P282" i="7"/>
  <c r="O282" i="7"/>
  <c r="N282" i="7"/>
  <c r="M282" i="7"/>
  <c r="L282" i="7"/>
  <c r="R281" i="7"/>
  <c r="Q281" i="7"/>
  <c r="P281" i="7"/>
  <c r="O281" i="7"/>
  <c r="N281" i="7"/>
  <c r="M281" i="7"/>
  <c r="L281" i="7"/>
  <c r="R280" i="7"/>
  <c r="Q280" i="7"/>
  <c r="P280" i="7"/>
  <c r="O280" i="7"/>
  <c r="N280" i="7"/>
  <c r="M280" i="7"/>
  <c r="L280" i="7"/>
  <c r="R279" i="7"/>
  <c r="Q279" i="7"/>
  <c r="P279" i="7"/>
  <c r="O279" i="7"/>
  <c r="N279" i="7"/>
  <c r="M279" i="7"/>
  <c r="L279" i="7"/>
  <c r="R278" i="7"/>
  <c r="Q278" i="7"/>
  <c r="P278" i="7"/>
  <c r="O278" i="7"/>
  <c r="N278" i="7"/>
  <c r="M278" i="7"/>
  <c r="L278" i="7"/>
  <c r="R277" i="7"/>
  <c r="Q277" i="7"/>
  <c r="P277" i="7"/>
  <c r="O277" i="7"/>
  <c r="N277" i="7"/>
  <c r="M277" i="7"/>
  <c r="L277" i="7"/>
  <c r="R276" i="7"/>
  <c r="Q276" i="7"/>
  <c r="P276" i="7"/>
  <c r="O276" i="7"/>
  <c r="N276" i="7"/>
  <c r="M276" i="7"/>
  <c r="L276" i="7"/>
  <c r="R275" i="7"/>
  <c r="Q275" i="7"/>
  <c r="P275" i="7"/>
  <c r="O275" i="7"/>
  <c r="N275" i="7"/>
  <c r="M275" i="7"/>
  <c r="L275" i="7"/>
  <c r="R274" i="7"/>
  <c r="Q274" i="7"/>
  <c r="P274" i="7"/>
  <c r="O274" i="7"/>
  <c r="N274" i="7"/>
  <c r="M274" i="7"/>
  <c r="L274" i="7"/>
  <c r="R273" i="7"/>
  <c r="Q273" i="7"/>
  <c r="P273" i="7"/>
  <c r="O273" i="7"/>
  <c r="N273" i="7"/>
  <c r="M273" i="7"/>
  <c r="L273" i="7"/>
  <c r="R272" i="7"/>
  <c r="Q272" i="7"/>
  <c r="P272" i="7"/>
  <c r="O272" i="7"/>
  <c r="N272" i="7"/>
  <c r="M272" i="7"/>
  <c r="L272" i="7"/>
  <c r="R271" i="7"/>
  <c r="Q271" i="7"/>
  <c r="P271" i="7"/>
  <c r="O271" i="7"/>
  <c r="N271" i="7"/>
  <c r="M271" i="7"/>
  <c r="L271" i="7"/>
  <c r="R270" i="7"/>
  <c r="Q270" i="7"/>
  <c r="P270" i="7"/>
  <c r="O270" i="7"/>
  <c r="N270" i="7"/>
  <c r="M270" i="7"/>
  <c r="L270" i="7"/>
  <c r="R269" i="7"/>
  <c r="Q269" i="7"/>
  <c r="P269" i="7"/>
  <c r="O269" i="7"/>
  <c r="N269" i="7"/>
  <c r="M269" i="7"/>
  <c r="L269" i="7"/>
  <c r="R268" i="7"/>
  <c r="Q268" i="7"/>
  <c r="P268" i="7"/>
  <c r="O268" i="7"/>
  <c r="N268" i="7"/>
  <c r="M268" i="7"/>
  <c r="L268" i="7"/>
  <c r="R267" i="7"/>
  <c r="Q267" i="7"/>
  <c r="P267" i="7"/>
  <c r="O267" i="7"/>
  <c r="N267" i="7"/>
  <c r="M267" i="7"/>
  <c r="L267" i="7"/>
  <c r="R266" i="7"/>
  <c r="Q266" i="7"/>
  <c r="P266" i="7"/>
  <c r="O266" i="7"/>
  <c r="N266" i="7"/>
  <c r="M266" i="7"/>
  <c r="L266" i="7"/>
  <c r="R265" i="7"/>
  <c r="Q265" i="7"/>
  <c r="P265" i="7"/>
  <c r="O265" i="7"/>
  <c r="N265" i="7"/>
  <c r="M265" i="7"/>
  <c r="L265" i="7"/>
  <c r="R264" i="7"/>
  <c r="Q264" i="7"/>
  <c r="P264" i="7"/>
  <c r="O264" i="7"/>
  <c r="N264" i="7"/>
  <c r="M264" i="7"/>
  <c r="L264" i="7"/>
  <c r="R263" i="7"/>
  <c r="Q263" i="7"/>
  <c r="P263" i="7"/>
  <c r="O263" i="7"/>
  <c r="N263" i="7"/>
  <c r="M263" i="7"/>
  <c r="L263" i="7"/>
  <c r="R262" i="7"/>
  <c r="Q262" i="7"/>
  <c r="P262" i="7"/>
  <c r="O262" i="7"/>
  <c r="N262" i="7"/>
  <c r="M262" i="7"/>
  <c r="L262" i="7"/>
  <c r="R261" i="7"/>
  <c r="Q261" i="7"/>
  <c r="P261" i="7"/>
  <c r="O261" i="7"/>
  <c r="N261" i="7"/>
  <c r="M261" i="7"/>
  <c r="L261" i="7"/>
  <c r="R260" i="7"/>
  <c r="Q260" i="7"/>
  <c r="P260" i="7"/>
  <c r="O260" i="7"/>
  <c r="N260" i="7"/>
  <c r="M260" i="7"/>
  <c r="L260" i="7"/>
  <c r="R259" i="7"/>
  <c r="Q259" i="7"/>
  <c r="P259" i="7"/>
  <c r="O259" i="7"/>
  <c r="N259" i="7"/>
  <c r="M259" i="7"/>
  <c r="L259" i="7"/>
  <c r="R258" i="7"/>
  <c r="Q258" i="7"/>
  <c r="P258" i="7"/>
  <c r="O258" i="7"/>
  <c r="N258" i="7"/>
  <c r="M258" i="7"/>
  <c r="L258" i="7"/>
  <c r="R257" i="7"/>
  <c r="Q257" i="7"/>
  <c r="P257" i="7"/>
  <c r="O257" i="7"/>
  <c r="N257" i="7"/>
  <c r="M257" i="7"/>
  <c r="L257" i="7"/>
  <c r="R256" i="7"/>
  <c r="Q256" i="7"/>
  <c r="P256" i="7"/>
  <c r="O256" i="7"/>
  <c r="N256" i="7"/>
  <c r="M256" i="7"/>
  <c r="L256" i="7"/>
  <c r="R255" i="7"/>
  <c r="Q255" i="7"/>
  <c r="P255" i="7"/>
  <c r="O255" i="7"/>
  <c r="N255" i="7"/>
  <c r="M255" i="7"/>
  <c r="L255" i="7"/>
  <c r="R254" i="7"/>
  <c r="Q254" i="7"/>
  <c r="P254" i="7"/>
  <c r="O254" i="7"/>
  <c r="N254" i="7"/>
  <c r="M254" i="7"/>
  <c r="L254" i="7"/>
  <c r="R253" i="7"/>
  <c r="Q253" i="7"/>
  <c r="P253" i="7"/>
  <c r="O253" i="7"/>
  <c r="N253" i="7"/>
  <c r="M253" i="7"/>
  <c r="L253" i="7"/>
  <c r="R252" i="7"/>
  <c r="Q252" i="7"/>
  <c r="P252" i="7"/>
  <c r="O252" i="7"/>
  <c r="N252" i="7"/>
  <c r="M252" i="7"/>
  <c r="L252" i="7"/>
  <c r="R251" i="7"/>
  <c r="Q251" i="7"/>
  <c r="P251" i="7"/>
  <c r="O251" i="7"/>
  <c r="N251" i="7"/>
  <c r="M251" i="7"/>
  <c r="L251" i="7"/>
  <c r="R250" i="7"/>
  <c r="Q250" i="7"/>
  <c r="P250" i="7"/>
  <c r="O250" i="7"/>
  <c r="N250" i="7"/>
  <c r="M250" i="7"/>
  <c r="L250" i="7"/>
  <c r="R249" i="7"/>
  <c r="Q249" i="7"/>
  <c r="P249" i="7"/>
  <c r="O249" i="7"/>
  <c r="N249" i="7"/>
  <c r="M249" i="7"/>
  <c r="L249" i="7"/>
  <c r="R248" i="7"/>
  <c r="Q248" i="7"/>
  <c r="P248" i="7"/>
  <c r="O248" i="7"/>
  <c r="N248" i="7"/>
  <c r="M248" i="7"/>
  <c r="L248" i="7"/>
  <c r="R247" i="7"/>
  <c r="Q247" i="7"/>
  <c r="P247" i="7"/>
  <c r="O247" i="7"/>
  <c r="N247" i="7"/>
  <c r="M247" i="7"/>
  <c r="L247" i="7"/>
  <c r="R246" i="7"/>
  <c r="Q246" i="7"/>
  <c r="P246" i="7"/>
  <c r="O246" i="7"/>
  <c r="N246" i="7"/>
  <c r="M246" i="7"/>
  <c r="L246" i="7"/>
  <c r="R245" i="7"/>
  <c r="Q245" i="7"/>
  <c r="P245" i="7"/>
  <c r="O245" i="7"/>
  <c r="N245" i="7"/>
  <c r="M245" i="7"/>
  <c r="L245" i="7"/>
  <c r="R244" i="7"/>
  <c r="Q244" i="7"/>
  <c r="P244" i="7"/>
  <c r="O244" i="7"/>
  <c r="N244" i="7"/>
  <c r="M244" i="7"/>
  <c r="L244" i="7"/>
  <c r="R243" i="7"/>
  <c r="Q243" i="7"/>
  <c r="P243" i="7"/>
  <c r="O243" i="7"/>
  <c r="N243" i="7"/>
  <c r="M243" i="7"/>
  <c r="L243" i="7"/>
  <c r="R242" i="7"/>
  <c r="Q242" i="7"/>
  <c r="P242" i="7"/>
  <c r="O242" i="7"/>
  <c r="N242" i="7"/>
  <c r="M242" i="7"/>
  <c r="L242" i="7"/>
  <c r="R241" i="7"/>
  <c r="Q241" i="7"/>
  <c r="P241" i="7"/>
  <c r="O241" i="7"/>
  <c r="N241" i="7"/>
  <c r="M241" i="7"/>
  <c r="L241" i="7"/>
  <c r="R240" i="7"/>
  <c r="Q240" i="7"/>
  <c r="P240" i="7"/>
  <c r="O240" i="7"/>
  <c r="N240" i="7"/>
  <c r="M240" i="7"/>
  <c r="L240" i="7"/>
  <c r="R239" i="7"/>
  <c r="Q239" i="7"/>
  <c r="P239" i="7"/>
  <c r="O239" i="7"/>
  <c r="N239" i="7"/>
  <c r="M239" i="7"/>
  <c r="L239" i="7"/>
  <c r="R238" i="7"/>
  <c r="Q238" i="7"/>
  <c r="P238" i="7"/>
  <c r="O238" i="7"/>
  <c r="N238" i="7"/>
  <c r="M238" i="7"/>
  <c r="L238" i="7"/>
  <c r="R237" i="7"/>
  <c r="Q237" i="7"/>
  <c r="P237" i="7"/>
  <c r="O237" i="7"/>
  <c r="N237" i="7"/>
  <c r="M237" i="7"/>
  <c r="L237" i="7"/>
  <c r="R236" i="7"/>
  <c r="Q236" i="7"/>
  <c r="P236" i="7"/>
  <c r="O236" i="7"/>
  <c r="N236" i="7"/>
  <c r="M236" i="7"/>
  <c r="L236" i="7"/>
  <c r="R235" i="7"/>
  <c r="Q235" i="7"/>
  <c r="P235" i="7"/>
  <c r="O235" i="7"/>
  <c r="N235" i="7"/>
  <c r="M235" i="7"/>
  <c r="L235" i="7"/>
  <c r="R234" i="7"/>
  <c r="Q234" i="7"/>
  <c r="P234" i="7"/>
  <c r="O234" i="7"/>
  <c r="N234" i="7"/>
  <c r="M234" i="7"/>
  <c r="L234" i="7"/>
  <c r="R233" i="7"/>
  <c r="Q233" i="7"/>
  <c r="P233" i="7"/>
  <c r="O233" i="7"/>
  <c r="N233" i="7"/>
  <c r="M233" i="7"/>
  <c r="L233" i="7"/>
  <c r="R232" i="7"/>
  <c r="Q232" i="7"/>
  <c r="P232" i="7"/>
  <c r="O232" i="7"/>
  <c r="N232" i="7"/>
  <c r="M232" i="7"/>
  <c r="L232" i="7"/>
  <c r="R231" i="7"/>
  <c r="Q231" i="7"/>
  <c r="P231" i="7"/>
  <c r="O231" i="7"/>
  <c r="N231" i="7"/>
  <c r="M231" i="7"/>
  <c r="L231" i="7"/>
  <c r="R230" i="7"/>
  <c r="Q230" i="7"/>
  <c r="P230" i="7"/>
  <c r="O230" i="7"/>
  <c r="N230" i="7"/>
  <c r="M230" i="7"/>
  <c r="L230" i="7"/>
  <c r="R229" i="7"/>
  <c r="Q229" i="7"/>
  <c r="P229" i="7"/>
  <c r="O229" i="7"/>
  <c r="N229" i="7"/>
  <c r="M229" i="7"/>
  <c r="L229" i="7"/>
  <c r="R228" i="7"/>
  <c r="Q228" i="7"/>
  <c r="P228" i="7"/>
  <c r="O228" i="7"/>
  <c r="N228" i="7"/>
  <c r="M228" i="7"/>
  <c r="L228" i="7"/>
  <c r="R227" i="7"/>
  <c r="Q227" i="7"/>
  <c r="P227" i="7"/>
  <c r="O227" i="7"/>
  <c r="N227" i="7"/>
  <c r="M227" i="7"/>
  <c r="L227" i="7"/>
  <c r="R226" i="7"/>
  <c r="Q226" i="7"/>
  <c r="P226" i="7"/>
  <c r="O226" i="7"/>
  <c r="N226" i="7"/>
  <c r="M226" i="7"/>
  <c r="L226" i="7"/>
  <c r="R225" i="7"/>
  <c r="Q225" i="7"/>
  <c r="P225" i="7"/>
  <c r="O225" i="7"/>
  <c r="N225" i="7"/>
  <c r="M225" i="7"/>
  <c r="L225" i="7"/>
  <c r="R224" i="7"/>
  <c r="Q224" i="7"/>
  <c r="P224" i="7"/>
  <c r="O224" i="7"/>
  <c r="N224" i="7"/>
  <c r="M224" i="7"/>
  <c r="L224" i="7"/>
  <c r="R223" i="7"/>
  <c r="Q223" i="7"/>
  <c r="P223" i="7"/>
  <c r="O223" i="7"/>
  <c r="N223" i="7"/>
  <c r="M223" i="7"/>
  <c r="L223" i="7"/>
  <c r="R222" i="7"/>
  <c r="Q222" i="7"/>
  <c r="P222" i="7"/>
  <c r="O222" i="7"/>
  <c r="N222" i="7"/>
  <c r="M222" i="7"/>
  <c r="L222" i="7"/>
  <c r="R221" i="7"/>
  <c r="Q221" i="7"/>
  <c r="P221" i="7"/>
  <c r="O221" i="7"/>
  <c r="N221" i="7"/>
  <c r="M221" i="7"/>
  <c r="L221" i="7"/>
  <c r="R220" i="7"/>
  <c r="Q220" i="7"/>
  <c r="P220" i="7"/>
  <c r="O220" i="7"/>
  <c r="N220" i="7"/>
  <c r="M220" i="7"/>
  <c r="L220" i="7"/>
  <c r="R219" i="7"/>
  <c r="Q219" i="7"/>
  <c r="P219" i="7"/>
  <c r="O219" i="7"/>
  <c r="N219" i="7"/>
  <c r="M219" i="7"/>
  <c r="L219" i="7"/>
  <c r="R218" i="7"/>
  <c r="Q218" i="7"/>
  <c r="P218" i="7"/>
  <c r="O218" i="7"/>
  <c r="N218" i="7"/>
  <c r="M218" i="7"/>
  <c r="L218" i="7"/>
  <c r="R217" i="7"/>
  <c r="Q217" i="7"/>
  <c r="P217" i="7"/>
  <c r="O217" i="7"/>
  <c r="N217" i="7"/>
  <c r="M217" i="7"/>
  <c r="L217" i="7"/>
  <c r="R216" i="7"/>
  <c r="Q216" i="7"/>
  <c r="P216" i="7"/>
  <c r="O216" i="7"/>
  <c r="N216" i="7"/>
  <c r="M216" i="7"/>
  <c r="L216" i="7"/>
  <c r="R215" i="7"/>
  <c r="Q215" i="7"/>
  <c r="P215" i="7"/>
  <c r="O215" i="7"/>
  <c r="N215" i="7"/>
  <c r="M215" i="7"/>
  <c r="L215" i="7"/>
  <c r="R214" i="7"/>
  <c r="Q214" i="7"/>
  <c r="P214" i="7"/>
  <c r="O214" i="7"/>
  <c r="N214" i="7"/>
  <c r="M214" i="7"/>
  <c r="L214" i="7"/>
  <c r="R213" i="7"/>
  <c r="Q213" i="7"/>
  <c r="P213" i="7"/>
  <c r="O213" i="7"/>
  <c r="N213" i="7"/>
  <c r="M213" i="7"/>
  <c r="L213" i="7"/>
  <c r="R212" i="7"/>
  <c r="Q212" i="7"/>
  <c r="P212" i="7"/>
  <c r="O212" i="7"/>
  <c r="N212" i="7"/>
  <c r="M212" i="7"/>
  <c r="L212" i="7"/>
  <c r="R211" i="7"/>
  <c r="Q211" i="7"/>
  <c r="P211" i="7"/>
  <c r="O211" i="7"/>
  <c r="N211" i="7"/>
  <c r="M211" i="7"/>
  <c r="L211" i="7"/>
  <c r="R210" i="7"/>
  <c r="Q210" i="7"/>
  <c r="P210" i="7"/>
  <c r="O210" i="7"/>
  <c r="N210" i="7"/>
  <c r="M210" i="7"/>
  <c r="L210" i="7"/>
  <c r="R209" i="7"/>
  <c r="Q209" i="7"/>
  <c r="P209" i="7"/>
  <c r="O209" i="7"/>
  <c r="N209" i="7"/>
  <c r="M209" i="7"/>
  <c r="L209" i="7"/>
  <c r="R208" i="7"/>
  <c r="Q208" i="7"/>
  <c r="P208" i="7"/>
  <c r="O208" i="7"/>
  <c r="N208" i="7"/>
  <c r="M208" i="7"/>
  <c r="L208" i="7"/>
  <c r="R207" i="7"/>
  <c r="Q207" i="7"/>
  <c r="P207" i="7"/>
  <c r="O207" i="7"/>
  <c r="N207" i="7"/>
  <c r="M207" i="7"/>
  <c r="L207" i="7"/>
  <c r="R206" i="7"/>
  <c r="Q206" i="7"/>
  <c r="P206" i="7"/>
  <c r="O206" i="7"/>
  <c r="N206" i="7"/>
  <c r="M206" i="7"/>
  <c r="L206" i="7"/>
  <c r="R205" i="7"/>
  <c r="Q205" i="7"/>
  <c r="P205" i="7"/>
  <c r="O205" i="7"/>
  <c r="N205" i="7"/>
  <c r="M205" i="7"/>
  <c r="L205" i="7"/>
  <c r="R204" i="7"/>
  <c r="Q204" i="7"/>
  <c r="P204" i="7"/>
  <c r="O204" i="7"/>
  <c r="N204" i="7"/>
  <c r="M204" i="7"/>
  <c r="L204" i="7"/>
  <c r="R203" i="7"/>
  <c r="Q203" i="7"/>
  <c r="P203" i="7"/>
  <c r="O203" i="7"/>
  <c r="N203" i="7"/>
  <c r="M203" i="7"/>
  <c r="L203" i="7"/>
  <c r="R202" i="7"/>
  <c r="Q202" i="7"/>
  <c r="P202" i="7"/>
  <c r="O202" i="7"/>
  <c r="N202" i="7"/>
  <c r="M202" i="7"/>
  <c r="L202" i="7"/>
  <c r="R201" i="7"/>
  <c r="Q201" i="7"/>
  <c r="P201" i="7"/>
  <c r="O201" i="7"/>
  <c r="N201" i="7"/>
  <c r="M201" i="7"/>
  <c r="L201" i="7"/>
  <c r="R200" i="7"/>
  <c r="Q200" i="7"/>
  <c r="P200" i="7"/>
  <c r="O200" i="7"/>
  <c r="N200" i="7"/>
  <c r="M200" i="7"/>
  <c r="L200" i="7"/>
  <c r="R199" i="7"/>
  <c r="Q199" i="7"/>
  <c r="P199" i="7"/>
  <c r="O199" i="7"/>
  <c r="N199" i="7"/>
  <c r="M199" i="7"/>
  <c r="L199" i="7"/>
  <c r="R198" i="7"/>
  <c r="Q198" i="7"/>
  <c r="P198" i="7"/>
  <c r="O198" i="7"/>
  <c r="N198" i="7"/>
  <c r="M198" i="7"/>
  <c r="L198" i="7"/>
  <c r="R197" i="7"/>
  <c r="Q197" i="7"/>
  <c r="P197" i="7"/>
  <c r="O197" i="7"/>
  <c r="N197" i="7"/>
  <c r="M197" i="7"/>
  <c r="L197" i="7"/>
  <c r="R196" i="7"/>
  <c r="Q196" i="7"/>
  <c r="P196" i="7"/>
  <c r="O196" i="7"/>
  <c r="N196" i="7"/>
  <c r="M196" i="7"/>
  <c r="L196" i="7"/>
  <c r="R195" i="7"/>
  <c r="Q195" i="7"/>
  <c r="P195" i="7"/>
  <c r="O195" i="7"/>
  <c r="N195" i="7"/>
  <c r="M195" i="7"/>
  <c r="L195" i="7"/>
  <c r="R194" i="7"/>
  <c r="Q194" i="7"/>
  <c r="P194" i="7"/>
  <c r="O194" i="7"/>
  <c r="N194" i="7"/>
  <c r="M194" i="7"/>
  <c r="L194" i="7"/>
  <c r="R193" i="7"/>
  <c r="Q193" i="7"/>
  <c r="P193" i="7"/>
  <c r="O193" i="7"/>
  <c r="N193" i="7"/>
  <c r="M193" i="7"/>
  <c r="L193" i="7"/>
  <c r="R192" i="7"/>
  <c r="Q192" i="7"/>
  <c r="P192" i="7"/>
  <c r="O192" i="7"/>
  <c r="N192" i="7"/>
  <c r="M192" i="7"/>
  <c r="L192" i="7"/>
  <c r="R191" i="7"/>
  <c r="Q191" i="7"/>
  <c r="P191" i="7"/>
  <c r="O191" i="7"/>
  <c r="N191" i="7"/>
  <c r="M191" i="7"/>
  <c r="L191" i="7"/>
  <c r="R190" i="7"/>
  <c r="Q190" i="7"/>
  <c r="P190" i="7"/>
  <c r="O190" i="7"/>
  <c r="N190" i="7"/>
  <c r="M190" i="7"/>
  <c r="L190" i="7"/>
  <c r="R189" i="7"/>
  <c r="Q189" i="7"/>
  <c r="P189" i="7"/>
  <c r="O189" i="7"/>
  <c r="N189" i="7"/>
  <c r="M189" i="7"/>
  <c r="L189" i="7"/>
  <c r="R188" i="7"/>
  <c r="Q188" i="7"/>
  <c r="P188" i="7"/>
  <c r="O188" i="7"/>
  <c r="N188" i="7"/>
  <c r="M188" i="7"/>
  <c r="L188" i="7"/>
  <c r="R187" i="7"/>
  <c r="Q187" i="7"/>
  <c r="P187" i="7"/>
  <c r="O187" i="7"/>
  <c r="N187" i="7"/>
  <c r="M187" i="7"/>
  <c r="L187" i="7"/>
  <c r="R186" i="7"/>
  <c r="Q186" i="7"/>
  <c r="P186" i="7"/>
  <c r="O186" i="7"/>
  <c r="N186" i="7"/>
  <c r="M186" i="7"/>
  <c r="L186" i="7"/>
  <c r="R185" i="7"/>
  <c r="Q185" i="7"/>
  <c r="P185" i="7"/>
  <c r="O185" i="7"/>
  <c r="N185" i="7"/>
  <c r="M185" i="7"/>
  <c r="L185" i="7"/>
  <c r="R184" i="7"/>
  <c r="Q184" i="7"/>
  <c r="P184" i="7"/>
  <c r="O184" i="7"/>
  <c r="N184" i="7"/>
  <c r="M184" i="7"/>
  <c r="L184" i="7"/>
  <c r="R183" i="7"/>
  <c r="Q183" i="7"/>
  <c r="P183" i="7"/>
  <c r="O183" i="7"/>
  <c r="N183" i="7"/>
  <c r="M183" i="7"/>
  <c r="L183" i="7"/>
  <c r="R182" i="7"/>
  <c r="Q182" i="7"/>
  <c r="P182" i="7"/>
  <c r="O182" i="7"/>
  <c r="N182" i="7"/>
  <c r="M182" i="7"/>
  <c r="L182" i="7"/>
  <c r="R181" i="7"/>
  <c r="Q181" i="7"/>
  <c r="P181" i="7"/>
  <c r="O181" i="7"/>
  <c r="N181" i="7"/>
  <c r="M181" i="7"/>
  <c r="L181" i="7"/>
  <c r="R180" i="7"/>
  <c r="Q180" i="7"/>
  <c r="P180" i="7"/>
  <c r="O180" i="7"/>
  <c r="N180" i="7"/>
  <c r="M180" i="7"/>
  <c r="L180" i="7"/>
  <c r="R179" i="7"/>
  <c r="Q179" i="7"/>
  <c r="P179" i="7"/>
  <c r="O179" i="7"/>
  <c r="N179" i="7"/>
  <c r="M179" i="7"/>
  <c r="L179" i="7"/>
  <c r="R178" i="7"/>
  <c r="Q178" i="7"/>
  <c r="P178" i="7"/>
  <c r="O178" i="7"/>
  <c r="N178" i="7"/>
  <c r="M178" i="7"/>
  <c r="L178" i="7"/>
  <c r="R177" i="7"/>
  <c r="Q177" i="7"/>
  <c r="P177" i="7"/>
  <c r="O177" i="7"/>
  <c r="N177" i="7"/>
  <c r="M177" i="7"/>
  <c r="L177" i="7"/>
  <c r="R176" i="7"/>
  <c r="Q176" i="7"/>
  <c r="P176" i="7"/>
  <c r="O176" i="7"/>
  <c r="N176" i="7"/>
  <c r="M176" i="7"/>
  <c r="L176" i="7"/>
  <c r="R175" i="7"/>
  <c r="Q175" i="7"/>
  <c r="P175" i="7"/>
  <c r="O175" i="7"/>
  <c r="N175" i="7"/>
  <c r="M175" i="7"/>
  <c r="L175" i="7"/>
  <c r="R174" i="7"/>
  <c r="Q174" i="7"/>
  <c r="P174" i="7"/>
  <c r="O174" i="7"/>
  <c r="N174" i="7"/>
  <c r="M174" i="7"/>
  <c r="L174" i="7"/>
  <c r="R173" i="7"/>
  <c r="Q173" i="7"/>
  <c r="P173" i="7"/>
  <c r="O173" i="7"/>
  <c r="N173" i="7"/>
  <c r="M173" i="7"/>
  <c r="L173" i="7"/>
  <c r="R172" i="7"/>
  <c r="Q172" i="7"/>
  <c r="P172" i="7"/>
  <c r="O172" i="7"/>
  <c r="N172" i="7"/>
  <c r="M172" i="7"/>
  <c r="L172" i="7"/>
  <c r="R171" i="7"/>
  <c r="Q171" i="7"/>
  <c r="P171" i="7"/>
  <c r="O171" i="7"/>
  <c r="N171" i="7"/>
  <c r="M171" i="7"/>
  <c r="L171" i="7"/>
  <c r="R170" i="7"/>
  <c r="Q170" i="7"/>
  <c r="P170" i="7"/>
  <c r="O170" i="7"/>
  <c r="N170" i="7"/>
  <c r="M170" i="7"/>
  <c r="L170" i="7"/>
  <c r="R169" i="7"/>
  <c r="Q169" i="7"/>
  <c r="P169" i="7"/>
  <c r="O169" i="7"/>
  <c r="N169" i="7"/>
  <c r="M169" i="7"/>
  <c r="L169" i="7"/>
  <c r="R168" i="7"/>
  <c r="Q168" i="7"/>
  <c r="P168" i="7"/>
  <c r="O168" i="7"/>
  <c r="N168" i="7"/>
  <c r="M168" i="7"/>
  <c r="L168" i="7"/>
  <c r="R167" i="7"/>
  <c r="Q167" i="7"/>
  <c r="P167" i="7"/>
  <c r="O167" i="7"/>
  <c r="N167" i="7"/>
  <c r="M167" i="7"/>
  <c r="L167" i="7"/>
  <c r="R166" i="7"/>
  <c r="Q166" i="7"/>
  <c r="P166" i="7"/>
  <c r="O166" i="7"/>
  <c r="N166" i="7"/>
  <c r="M166" i="7"/>
  <c r="L166" i="7"/>
  <c r="R165" i="7"/>
  <c r="Q165" i="7"/>
  <c r="P165" i="7"/>
  <c r="O165" i="7"/>
  <c r="N165" i="7"/>
  <c r="M165" i="7"/>
  <c r="L165" i="7"/>
  <c r="R164" i="7"/>
  <c r="Q164" i="7"/>
  <c r="P164" i="7"/>
  <c r="O164" i="7"/>
  <c r="N164" i="7"/>
  <c r="M164" i="7"/>
  <c r="L164" i="7"/>
  <c r="R163" i="7"/>
  <c r="Q163" i="7"/>
  <c r="P163" i="7"/>
  <c r="O163" i="7"/>
  <c r="N163" i="7"/>
  <c r="M163" i="7"/>
  <c r="L163" i="7"/>
  <c r="R162" i="7"/>
  <c r="Q162" i="7"/>
  <c r="P162" i="7"/>
  <c r="O162" i="7"/>
  <c r="N162" i="7"/>
  <c r="M162" i="7"/>
  <c r="L162" i="7"/>
  <c r="R161" i="7"/>
  <c r="Q161" i="7"/>
  <c r="P161" i="7"/>
  <c r="O161" i="7"/>
  <c r="N161" i="7"/>
  <c r="M161" i="7"/>
  <c r="L161" i="7"/>
  <c r="R160" i="7"/>
  <c r="Q160" i="7"/>
  <c r="P160" i="7"/>
  <c r="O160" i="7"/>
  <c r="N160" i="7"/>
  <c r="M160" i="7"/>
  <c r="L160" i="7"/>
  <c r="R159" i="7"/>
  <c r="Q159" i="7"/>
  <c r="P159" i="7"/>
  <c r="O159" i="7"/>
  <c r="N159" i="7"/>
  <c r="M159" i="7"/>
  <c r="L159" i="7"/>
  <c r="R158" i="7"/>
  <c r="Q158" i="7"/>
  <c r="P158" i="7"/>
  <c r="O158" i="7"/>
  <c r="N158" i="7"/>
  <c r="M158" i="7"/>
  <c r="L158" i="7"/>
  <c r="R157" i="7"/>
  <c r="Q157" i="7"/>
  <c r="P157" i="7"/>
  <c r="O157" i="7"/>
  <c r="N157" i="7"/>
  <c r="M157" i="7"/>
  <c r="L157" i="7"/>
  <c r="R156" i="7"/>
  <c r="Q156" i="7"/>
  <c r="P156" i="7"/>
  <c r="O156" i="7"/>
  <c r="N156" i="7"/>
  <c r="M156" i="7"/>
  <c r="L156" i="7"/>
  <c r="R155" i="7"/>
  <c r="Q155" i="7"/>
  <c r="P155" i="7"/>
  <c r="O155" i="7"/>
  <c r="N155" i="7"/>
  <c r="M155" i="7"/>
  <c r="L155" i="7"/>
  <c r="R154" i="7"/>
  <c r="Q154" i="7"/>
  <c r="P154" i="7"/>
  <c r="O154" i="7"/>
  <c r="N154" i="7"/>
  <c r="M154" i="7"/>
  <c r="L154" i="7"/>
  <c r="R153" i="7"/>
  <c r="Q153" i="7"/>
  <c r="P153" i="7"/>
  <c r="O153" i="7"/>
  <c r="N153" i="7"/>
  <c r="M153" i="7"/>
  <c r="L153" i="7"/>
  <c r="R152" i="7"/>
  <c r="Q152" i="7"/>
  <c r="P152" i="7"/>
  <c r="O152" i="7"/>
  <c r="N152" i="7"/>
  <c r="M152" i="7"/>
  <c r="L152" i="7"/>
  <c r="R151" i="7"/>
  <c r="Q151" i="7"/>
  <c r="P151" i="7"/>
  <c r="O151" i="7"/>
  <c r="N151" i="7"/>
  <c r="M151" i="7"/>
  <c r="L151" i="7"/>
  <c r="R150" i="7"/>
  <c r="Q150" i="7"/>
  <c r="P150" i="7"/>
  <c r="O150" i="7"/>
  <c r="N150" i="7"/>
  <c r="M150" i="7"/>
  <c r="L150" i="7"/>
  <c r="R149" i="7"/>
  <c r="Q149" i="7"/>
  <c r="P149" i="7"/>
  <c r="O149" i="7"/>
  <c r="N149" i="7"/>
  <c r="M149" i="7"/>
  <c r="L149" i="7"/>
  <c r="R148" i="7"/>
  <c r="Q148" i="7"/>
  <c r="P148" i="7"/>
  <c r="O148" i="7"/>
  <c r="N148" i="7"/>
  <c r="M148" i="7"/>
  <c r="L148" i="7"/>
  <c r="R147" i="7"/>
  <c r="Q147" i="7"/>
  <c r="P147" i="7"/>
  <c r="O147" i="7"/>
  <c r="N147" i="7"/>
  <c r="M147" i="7"/>
  <c r="L147" i="7"/>
  <c r="R146" i="7"/>
  <c r="Q146" i="7"/>
  <c r="P146" i="7"/>
  <c r="O146" i="7"/>
  <c r="N146" i="7"/>
  <c r="M146" i="7"/>
  <c r="L146" i="7"/>
  <c r="R145" i="7"/>
  <c r="Q145" i="7"/>
  <c r="P145" i="7"/>
  <c r="O145" i="7"/>
  <c r="N145" i="7"/>
  <c r="M145" i="7"/>
  <c r="L145" i="7"/>
  <c r="R144" i="7"/>
  <c r="Q144" i="7"/>
  <c r="P144" i="7"/>
  <c r="O144" i="7"/>
  <c r="N144" i="7"/>
  <c r="M144" i="7"/>
  <c r="L144" i="7"/>
  <c r="R143" i="7"/>
  <c r="Q143" i="7"/>
  <c r="P143" i="7"/>
  <c r="O143" i="7"/>
  <c r="N143" i="7"/>
  <c r="M143" i="7"/>
  <c r="L143" i="7"/>
  <c r="R142" i="7"/>
  <c r="Q142" i="7"/>
  <c r="P142" i="7"/>
  <c r="O142" i="7"/>
  <c r="N142" i="7"/>
  <c r="M142" i="7"/>
  <c r="L142" i="7"/>
  <c r="R141" i="7"/>
  <c r="Q141" i="7"/>
  <c r="P141" i="7"/>
  <c r="O141" i="7"/>
  <c r="N141" i="7"/>
  <c r="M141" i="7"/>
  <c r="L141" i="7"/>
  <c r="R140" i="7"/>
  <c r="Q140" i="7"/>
  <c r="P140" i="7"/>
  <c r="O140" i="7"/>
  <c r="N140" i="7"/>
  <c r="M140" i="7"/>
  <c r="L140" i="7"/>
  <c r="R139" i="7"/>
  <c r="Q139" i="7"/>
  <c r="P139" i="7"/>
  <c r="O139" i="7"/>
  <c r="N139" i="7"/>
  <c r="M139" i="7"/>
  <c r="L139" i="7"/>
  <c r="R138" i="7"/>
  <c r="Q138" i="7"/>
  <c r="P138" i="7"/>
  <c r="O138" i="7"/>
  <c r="N138" i="7"/>
  <c r="M138" i="7"/>
  <c r="L138" i="7"/>
  <c r="R137" i="7"/>
  <c r="Q137" i="7"/>
  <c r="P137" i="7"/>
  <c r="O137" i="7"/>
  <c r="N137" i="7"/>
  <c r="M137" i="7"/>
  <c r="L137" i="7"/>
  <c r="R136" i="7"/>
  <c r="Q136" i="7"/>
  <c r="P136" i="7"/>
  <c r="O136" i="7"/>
  <c r="N136" i="7"/>
  <c r="M136" i="7"/>
  <c r="L136" i="7"/>
  <c r="R135" i="7"/>
  <c r="Q135" i="7"/>
  <c r="P135" i="7"/>
  <c r="O135" i="7"/>
  <c r="N135" i="7"/>
  <c r="M135" i="7"/>
  <c r="L135" i="7"/>
  <c r="R134" i="7"/>
  <c r="Q134" i="7"/>
  <c r="P134" i="7"/>
  <c r="O134" i="7"/>
  <c r="N134" i="7"/>
  <c r="M134" i="7"/>
  <c r="L134" i="7"/>
  <c r="R133" i="7"/>
  <c r="Q133" i="7"/>
  <c r="P133" i="7"/>
  <c r="O133" i="7"/>
  <c r="N133" i="7"/>
  <c r="M133" i="7"/>
  <c r="L133" i="7"/>
  <c r="R132" i="7"/>
  <c r="Q132" i="7"/>
  <c r="P132" i="7"/>
  <c r="O132" i="7"/>
  <c r="N132" i="7"/>
  <c r="M132" i="7"/>
  <c r="L132" i="7"/>
  <c r="R131" i="7"/>
  <c r="Q131" i="7"/>
  <c r="P131" i="7"/>
  <c r="O131" i="7"/>
  <c r="N131" i="7"/>
  <c r="M131" i="7"/>
  <c r="L131" i="7"/>
  <c r="R130" i="7"/>
  <c r="Q130" i="7"/>
  <c r="P130" i="7"/>
  <c r="O130" i="7"/>
  <c r="N130" i="7"/>
  <c r="M130" i="7"/>
  <c r="L130" i="7"/>
  <c r="R129" i="7"/>
  <c r="Q129" i="7"/>
  <c r="P129" i="7"/>
  <c r="O129" i="7"/>
  <c r="N129" i="7"/>
  <c r="M129" i="7"/>
  <c r="L129" i="7"/>
  <c r="R128" i="7"/>
  <c r="Q128" i="7"/>
  <c r="P128" i="7"/>
  <c r="O128" i="7"/>
  <c r="N128" i="7"/>
  <c r="M128" i="7"/>
  <c r="L128" i="7"/>
  <c r="R127" i="7"/>
  <c r="Q127" i="7"/>
  <c r="P127" i="7"/>
  <c r="O127" i="7"/>
  <c r="N127" i="7"/>
  <c r="M127" i="7"/>
  <c r="L127" i="7"/>
  <c r="R126" i="7"/>
  <c r="Q126" i="7"/>
  <c r="P126" i="7"/>
  <c r="O126" i="7"/>
  <c r="N126" i="7"/>
  <c r="M126" i="7"/>
  <c r="L126" i="7"/>
  <c r="R125" i="7"/>
  <c r="Q125" i="7"/>
  <c r="P125" i="7"/>
  <c r="O125" i="7"/>
  <c r="N125" i="7"/>
  <c r="M125" i="7"/>
  <c r="L125" i="7"/>
  <c r="R124" i="7"/>
  <c r="Q124" i="7"/>
  <c r="P124" i="7"/>
  <c r="O124" i="7"/>
  <c r="N124" i="7"/>
  <c r="M124" i="7"/>
  <c r="L124" i="7"/>
  <c r="R123" i="7"/>
  <c r="Q123" i="7"/>
  <c r="P123" i="7"/>
  <c r="O123" i="7"/>
  <c r="N123" i="7"/>
  <c r="M123" i="7"/>
  <c r="L123" i="7"/>
  <c r="R122" i="7"/>
  <c r="Q122" i="7"/>
  <c r="P122" i="7"/>
  <c r="O122" i="7"/>
  <c r="N122" i="7"/>
  <c r="M122" i="7"/>
  <c r="L122" i="7"/>
  <c r="R121" i="7"/>
  <c r="Q121" i="7"/>
  <c r="P121" i="7"/>
  <c r="O121" i="7"/>
  <c r="N121" i="7"/>
  <c r="M121" i="7"/>
  <c r="L121" i="7"/>
  <c r="R120" i="7"/>
  <c r="Q120" i="7"/>
  <c r="P120" i="7"/>
  <c r="O120" i="7"/>
  <c r="N120" i="7"/>
  <c r="M120" i="7"/>
  <c r="L120" i="7"/>
  <c r="R119" i="7"/>
  <c r="Q119" i="7"/>
  <c r="P119" i="7"/>
  <c r="O119" i="7"/>
  <c r="N119" i="7"/>
  <c r="M119" i="7"/>
  <c r="L119" i="7"/>
  <c r="R118" i="7"/>
  <c r="Q118" i="7"/>
  <c r="P118" i="7"/>
  <c r="O118" i="7"/>
  <c r="N118" i="7"/>
  <c r="M118" i="7"/>
  <c r="L118" i="7"/>
  <c r="R117" i="7"/>
  <c r="Q117" i="7"/>
  <c r="P117" i="7"/>
  <c r="O117" i="7"/>
  <c r="N117" i="7"/>
  <c r="M117" i="7"/>
  <c r="L117" i="7"/>
  <c r="R116" i="7"/>
  <c r="Q116" i="7"/>
  <c r="P116" i="7"/>
  <c r="O116" i="7"/>
  <c r="N116" i="7"/>
  <c r="M116" i="7"/>
  <c r="L116" i="7"/>
  <c r="R115" i="7"/>
  <c r="Q115" i="7"/>
  <c r="P115" i="7"/>
  <c r="O115" i="7"/>
  <c r="N115" i="7"/>
  <c r="M115" i="7"/>
  <c r="L115" i="7"/>
  <c r="R114" i="7"/>
  <c r="Q114" i="7"/>
  <c r="P114" i="7"/>
  <c r="O114" i="7"/>
  <c r="N114" i="7"/>
  <c r="M114" i="7"/>
  <c r="L114" i="7"/>
  <c r="R113" i="7"/>
  <c r="Q113" i="7"/>
  <c r="P113" i="7"/>
  <c r="O113" i="7"/>
  <c r="N113" i="7"/>
  <c r="M113" i="7"/>
  <c r="L113" i="7"/>
  <c r="R112" i="7"/>
  <c r="Q112" i="7"/>
  <c r="P112" i="7"/>
  <c r="O112" i="7"/>
  <c r="N112" i="7"/>
  <c r="M112" i="7"/>
  <c r="L112" i="7"/>
  <c r="R111" i="7"/>
  <c r="Q111" i="7"/>
  <c r="P111" i="7"/>
  <c r="O111" i="7"/>
  <c r="N111" i="7"/>
  <c r="M111" i="7"/>
  <c r="L111" i="7"/>
  <c r="R110" i="7"/>
  <c r="Q110" i="7"/>
  <c r="P110" i="7"/>
  <c r="O110" i="7"/>
  <c r="N110" i="7"/>
  <c r="M110" i="7"/>
  <c r="L110" i="7"/>
  <c r="R109" i="7"/>
  <c r="Q109" i="7"/>
  <c r="P109" i="7"/>
  <c r="O109" i="7"/>
  <c r="N109" i="7"/>
  <c r="M109" i="7"/>
  <c r="L109" i="7"/>
  <c r="R108" i="7"/>
  <c r="Q108" i="7"/>
  <c r="P108" i="7"/>
  <c r="O108" i="7"/>
  <c r="N108" i="7"/>
  <c r="M108" i="7"/>
  <c r="L108" i="7"/>
  <c r="R107" i="7"/>
  <c r="Q107" i="7"/>
  <c r="P107" i="7"/>
  <c r="O107" i="7"/>
  <c r="N107" i="7"/>
  <c r="M107" i="7"/>
  <c r="L107" i="7"/>
  <c r="R106" i="7"/>
  <c r="Q106" i="7"/>
  <c r="P106" i="7"/>
  <c r="O106" i="7"/>
  <c r="N106" i="7"/>
  <c r="M106" i="7"/>
  <c r="L106" i="7"/>
  <c r="R105" i="7"/>
  <c r="Q105" i="7"/>
  <c r="P105" i="7"/>
  <c r="O105" i="7"/>
  <c r="N105" i="7"/>
  <c r="M105" i="7"/>
  <c r="L105" i="7"/>
  <c r="R104" i="7"/>
  <c r="Q104" i="7"/>
  <c r="P104" i="7"/>
  <c r="O104" i="7"/>
  <c r="N104" i="7"/>
  <c r="M104" i="7"/>
  <c r="L104" i="7"/>
  <c r="R103" i="7"/>
  <c r="Q103" i="7"/>
  <c r="P103" i="7"/>
  <c r="O103" i="7"/>
  <c r="N103" i="7"/>
  <c r="M103" i="7"/>
  <c r="L103" i="7"/>
  <c r="R102" i="7"/>
  <c r="Q102" i="7"/>
  <c r="P102" i="7"/>
  <c r="O102" i="7"/>
  <c r="N102" i="7"/>
  <c r="M102" i="7"/>
  <c r="L102" i="7"/>
  <c r="R101" i="7"/>
  <c r="Q101" i="7"/>
  <c r="P101" i="7"/>
  <c r="O101" i="7"/>
  <c r="N101" i="7"/>
  <c r="M101" i="7"/>
  <c r="L101" i="7"/>
  <c r="R100" i="7"/>
  <c r="Q100" i="7"/>
  <c r="P100" i="7"/>
  <c r="O100" i="7"/>
  <c r="N100" i="7"/>
  <c r="M100" i="7"/>
  <c r="L100" i="7"/>
  <c r="R99" i="7"/>
  <c r="Q99" i="7"/>
  <c r="P99" i="7"/>
  <c r="O99" i="7"/>
  <c r="N99" i="7"/>
  <c r="M99" i="7"/>
  <c r="L99" i="7"/>
  <c r="R98" i="7"/>
  <c r="Q98" i="7"/>
  <c r="P98" i="7"/>
  <c r="O98" i="7"/>
  <c r="N98" i="7"/>
  <c r="M98" i="7"/>
  <c r="L98" i="7"/>
  <c r="R97" i="7"/>
  <c r="Q97" i="7"/>
  <c r="P97" i="7"/>
  <c r="O97" i="7"/>
  <c r="N97" i="7"/>
  <c r="M97" i="7"/>
  <c r="L97" i="7"/>
  <c r="R96" i="7"/>
  <c r="Q96" i="7"/>
  <c r="P96" i="7"/>
  <c r="O96" i="7"/>
  <c r="N96" i="7"/>
  <c r="M96" i="7"/>
  <c r="L96" i="7"/>
  <c r="R95" i="7"/>
  <c r="Q95" i="7"/>
  <c r="P95" i="7"/>
  <c r="O95" i="7"/>
  <c r="N95" i="7"/>
  <c r="M95" i="7"/>
  <c r="L95" i="7"/>
  <c r="R94" i="7"/>
  <c r="Q94" i="7"/>
  <c r="P94" i="7"/>
  <c r="O94" i="7"/>
  <c r="N94" i="7"/>
  <c r="M94" i="7"/>
  <c r="L94" i="7"/>
  <c r="R93" i="7"/>
  <c r="Q93" i="7"/>
  <c r="P93" i="7"/>
  <c r="O93" i="7"/>
  <c r="N93" i="7"/>
  <c r="M93" i="7"/>
  <c r="L93" i="7"/>
  <c r="R92" i="7"/>
  <c r="Q92" i="7"/>
  <c r="P92" i="7"/>
  <c r="O92" i="7"/>
  <c r="N92" i="7"/>
  <c r="M92" i="7"/>
  <c r="L92" i="7"/>
  <c r="R91" i="7"/>
  <c r="Q91" i="7"/>
  <c r="P91" i="7"/>
  <c r="O91" i="7"/>
  <c r="N91" i="7"/>
  <c r="M91" i="7"/>
  <c r="L91" i="7"/>
  <c r="R90" i="7"/>
  <c r="Q90" i="7"/>
  <c r="P90" i="7"/>
  <c r="O90" i="7"/>
  <c r="N90" i="7"/>
  <c r="M90" i="7"/>
  <c r="L90" i="7"/>
  <c r="R89" i="7"/>
  <c r="Q89" i="7"/>
  <c r="P89" i="7"/>
  <c r="O89" i="7"/>
  <c r="N89" i="7"/>
  <c r="M89" i="7"/>
  <c r="L89" i="7"/>
  <c r="R88" i="7"/>
  <c r="Q88" i="7"/>
  <c r="P88" i="7"/>
  <c r="O88" i="7"/>
  <c r="N88" i="7"/>
  <c r="M88" i="7"/>
  <c r="L88" i="7"/>
  <c r="R87" i="7"/>
  <c r="Q87" i="7"/>
  <c r="P87" i="7"/>
  <c r="O87" i="7"/>
  <c r="N87" i="7"/>
  <c r="M87" i="7"/>
  <c r="L87" i="7"/>
  <c r="R86" i="7"/>
  <c r="Q86" i="7"/>
  <c r="P86" i="7"/>
  <c r="O86" i="7"/>
  <c r="N86" i="7"/>
  <c r="M86" i="7"/>
  <c r="L86" i="7"/>
  <c r="R85" i="7"/>
  <c r="Q85" i="7"/>
  <c r="P85" i="7"/>
  <c r="O85" i="7"/>
  <c r="N85" i="7"/>
  <c r="M85" i="7"/>
  <c r="L85" i="7"/>
  <c r="R84" i="7"/>
  <c r="Q84" i="7"/>
  <c r="P84" i="7"/>
  <c r="O84" i="7"/>
  <c r="N84" i="7"/>
  <c r="M84" i="7"/>
  <c r="L84" i="7"/>
  <c r="R83" i="7"/>
  <c r="Q83" i="7"/>
  <c r="P83" i="7"/>
  <c r="O83" i="7"/>
  <c r="N83" i="7"/>
  <c r="M83" i="7"/>
  <c r="L83" i="7"/>
  <c r="R82" i="7"/>
  <c r="Q82" i="7"/>
  <c r="P82" i="7"/>
  <c r="O82" i="7"/>
  <c r="N82" i="7"/>
  <c r="M82" i="7"/>
  <c r="L82" i="7"/>
  <c r="R81" i="7"/>
  <c r="Q81" i="7"/>
  <c r="P81" i="7"/>
  <c r="O81" i="7"/>
  <c r="N81" i="7"/>
  <c r="M81" i="7"/>
  <c r="L81" i="7"/>
  <c r="R80" i="7"/>
  <c r="Q80" i="7"/>
  <c r="P80" i="7"/>
  <c r="O80" i="7"/>
  <c r="N80" i="7"/>
  <c r="M80" i="7"/>
  <c r="L80" i="7"/>
  <c r="R79" i="7"/>
  <c r="Q79" i="7"/>
  <c r="P79" i="7"/>
  <c r="O79" i="7"/>
  <c r="N79" i="7"/>
  <c r="M79" i="7"/>
  <c r="L79" i="7"/>
  <c r="R78" i="7"/>
  <c r="Q78" i="7"/>
  <c r="P78" i="7"/>
  <c r="O78" i="7"/>
  <c r="N78" i="7"/>
  <c r="M78" i="7"/>
  <c r="L78" i="7"/>
  <c r="R77" i="7"/>
  <c r="Q77" i="7"/>
  <c r="P77" i="7"/>
  <c r="O77" i="7"/>
  <c r="N77" i="7"/>
  <c r="M77" i="7"/>
  <c r="L77" i="7"/>
  <c r="R76" i="7"/>
  <c r="Q76" i="7"/>
  <c r="P76" i="7"/>
  <c r="O76" i="7"/>
  <c r="N76" i="7"/>
  <c r="M76" i="7"/>
  <c r="L76" i="7"/>
  <c r="R75" i="7"/>
  <c r="Q75" i="7"/>
  <c r="P75" i="7"/>
  <c r="O75" i="7"/>
  <c r="N75" i="7"/>
  <c r="M75" i="7"/>
  <c r="L75" i="7"/>
  <c r="R74" i="7"/>
  <c r="Q74" i="7"/>
  <c r="P74" i="7"/>
  <c r="O74" i="7"/>
  <c r="N74" i="7"/>
  <c r="M74" i="7"/>
  <c r="L74" i="7"/>
  <c r="R73" i="7"/>
  <c r="Q73" i="7"/>
  <c r="P73" i="7"/>
  <c r="O73" i="7"/>
  <c r="N73" i="7"/>
  <c r="M73" i="7"/>
  <c r="L73" i="7"/>
  <c r="R72" i="7"/>
  <c r="Q72" i="7"/>
  <c r="P72" i="7"/>
  <c r="O72" i="7"/>
  <c r="N72" i="7"/>
  <c r="M72" i="7"/>
  <c r="L72" i="7"/>
  <c r="R71" i="7"/>
  <c r="Q71" i="7"/>
  <c r="P71" i="7"/>
  <c r="O71" i="7"/>
  <c r="N71" i="7"/>
  <c r="M71" i="7"/>
  <c r="L71" i="7"/>
  <c r="R70" i="7"/>
  <c r="Q70" i="7"/>
  <c r="P70" i="7"/>
  <c r="O70" i="7"/>
  <c r="N70" i="7"/>
  <c r="M70" i="7"/>
  <c r="L70" i="7"/>
  <c r="R69" i="7"/>
  <c r="Q69" i="7"/>
  <c r="P69" i="7"/>
  <c r="O69" i="7"/>
  <c r="N69" i="7"/>
  <c r="M69" i="7"/>
  <c r="L69" i="7"/>
  <c r="R68" i="7"/>
  <c r="Q68" i="7"/>
  <c r="P68" i="7"/>
  <c r="O68" i="7"/>
  <c r="N68" i="7"/>
  <c r="M68" i="7"/>
  <c r="L68" i="7"/>
  <c r="R67" i="7"/>
  <c r="Q67" i="7"/>
  <c r="P67" i="7"/>
  <c r="O67" i="7"/>
  <c r="N67" i="7"/>
  <c r="M67" i="7"/>
  <c r="L67" i="7"/>
  <c r="R66" i="7"/>
  <c r="Q66" i="7"/>
  <c r="P66" i="7"/>
  <c r="O66" i="7"/>
  <c r="N66" i="7"/>
  <c r="M66" i="7"/>
  <c r="L66" i="7"/>
  <c r="R65" i="7"/>
  <c r="Q65" i="7"/>
  <c r="P65" i="7"/>
  <c r="O65" i="7"/>
  <c r="N65" i="7"/>
  <c r="M65" i="7"/>
  <c r="L65" i="7"/>
  <c r="R64" i="7"/>
  <c r="Q64" i="7"/>
  <c r="P64" i="7"/>
  <c r="O64" i="7"/>
  <c r="N64" i="7"/>
  <c r="M64" i="7"/>
  <c r="L64" i="7"/>
  <c r="R63" i="7"/>
  <c r="Q63" i="7"/>
  <c r="P63" i="7"/>
  <c r="O63" i="7"/>
  <c r="N63" i="7"/>
  <c r="M63" i="7"/>
  <c r="L63" i="7"/>
  <c r="R62" i="7"/>
  <c r="Q62" i="7"/>
  <c r="P62" i="7"/>
  <c r="O62" i="7"/>
  <c r="N62" i="7"/>
  <c r="M62" i="7"/>
  <c r="L62" i="7"/>
  <c r="R61" i="7"/>
  <c r="Q61" i="7"/>
  <c r="P61" i="7"/>
  <c r="O61" i="7"/>
  <c r="N61" i="7"/>
  <c r="M61" i="7"/>
  <c r="L61" i="7"/>
  <c r="R60" i="7"/>
  <c r="Q60" i="7"/>
  <c r="P60" i="7"/>
  <c r="O60" i="7"/>
  <c r="N60" i="7"/>
  <c r="M60" i="7"/>
  <c r="L60" i="7"/>
  <c r="R59" i="7"/>
  <c r="Q59" i="7"/>
  <c r="P59" i="7"/>
  <c r="O59" i="7"/>
  <c r="N59" i="7"/>
  <c r="M59" i="7"/>
  <c r="L59" i="7"/>
  <c r="R58" i="7"/>
  <c r="Q58" i="7"/>
  <c r="P58" i="7"/>
  <c r="O58" i="7"/>
  <c r="N58" i="7"/>
  <c r="M58" i="7"/>
  <c r="L58" i="7"/>
  <c r="R57" i="7"/>
  <c r="Q57" i="7"/>
  <c r="P57" i="7"/>
  <c r="O57" i="7"/>
  <c r="N57" i="7"/>
  <c r="M57" i="7"/>
  <c r="L57" i="7"/>
  <c r="R56" i="7"/>
  <c r="Q56" i="7"/>
  <c r="P56" i="7"/>
  <c r="O56" i="7"/>
  <c r="N56" i="7"/>
  <c r="M56" i="7"/>
  <c r="L56" i="7"/>
  <c r="R55" i="7"/>
  <c r="Q55" i="7"/>
  <c r="P55" i="7"/>
  <c r="O55" i="7"/>
  <c r="N55" i="7"/>
  <c r="M55" i="7"/>
  <c r="L55" i="7"/>
  <c r="R54" i="7"/>
  <c r="Q54" i="7"/>
  <c r="P54" i="7"/>
  <c r="O54" i="7"/>
  <c r="N54" i="7"/>
  <c r="M54" i="7"/>
  <c r="L54" i="7"/>
  <c r="R53" i="7"/>
  <c r="Q53" i="7"/>
  <c r="P53" i="7"/>
  <c r="O53" i="7"/>
  <c r="N53" i="7"/>
  <c r="M53" i="7"/>
  <c r="L53" i="7"/>
  <c r="R52" i="7"/>
  <c r="Q52" i="7"/>
  <c r="P52" i="7"/>
  <c r="O52" i="7"/>
  <c r="N52" i="7"/>
  <c r="M52" i="7"/>
  <c r="L52" i="7"/>
  <c r="R51" i="7"/>
  <c r="Q51" i="7"/>
  <c r="P51" i="7"/>
  <c r="O51" i="7"/>
  <c r="N51" i="7"/>
  <c r="M51" i="7"/>
  <c r="L51" i="7"/>
  <c r="R50" i="7"/>
  <c r="Q50" i="7"/>
  <c r="P50" i="7"/>
  <c r="O50" i="7"/>
  <c r="N50" i="7"/>
  <c r="M50" i="7"/>
  <c r="L50" i="7"/>
  <c r="R49" i="7"/>
  <c r="Q49" i="7"/>
  <c r="P49" i="7"/>
  <c r="O49" i="7"/>
  <c r="N49" i="7"/>
  <c r="M49" i="7"/>
  <c r="L49" i="7"/>
  <c r="R48" i="7"/>
  <c r="Q48" i="7"/>
  <c r="P48" i="7"/>
  <c r="O48" i="7"/>
  <c r="N48" i="7"/>
  <c r="M48" i="7"/>
  <c r="L48" i="7"/>
  <c r="R47" i="7"/>
  <c r="Q47" i="7"/>
  <c r="P47" i="7"/>
  <c r="O47" i="7"/>
  <c r="N47" i="7"/>
  <c r="M47" i="7"/>
  <c r="L47" i="7"/>
  <c r="R46" i="7"/>
  <c r="Q46" i="7"/>
  <c r="P46" i="7"/>
  <c r="O46" i="7"/>
  <c r="N46" i="7"/>
  <c r="M46" i="7"/>
  <c r="L46" i="7"/>
  <c r="R45" i="7"/>
  <c r="Q45" i="7"/>
  <c r="P45" i="7"/>
  <c r="O45" i="7"/>
  <c r="N45" i="7"/>
  <c r="M45" i="7"/>
  <c r="L45" i="7"/>
  <c r="R44" i="7"/>
  <c r="Q44" i="7"/>
  <c r="P44" i="7"/>
  <c r="O44" i="7"/>
  <c r="N44" i="7"/>
  <c r="M44" i="7"/>
  <c r="L44" i="7"/>
  <c r="R43" i="7"/>
  <c r="Q43" i="7"/>
  <c r="P43" i="7"/>
  <c r="O43" i="7"/>
  <c r="N43" i="7"/>
  <c r="M43" i="7"/>
  <c r="L43" i="7"/>
  <c r="R42" i="7"/>
  <c r="Q42" i="7"/>
  <c r="P42" i="7"/>
  <c r="O42" i="7"/>
  <c r="N42" i="7"/>
  <c r="M42" i="7"/>
  <c r="L42" i="7"/>
  <c r="R41" i="7"/>
  <c r="Q41" i="7"/>
  <c r="P41" i="7"/>
  <c r="O41" i="7"/>
  <c r="N41" i="7"/>
  <c r="M41" i="7"/>
  <c r="L41" i="7"/>
  <c r="R40" i="7"/>
  <c r="Q40" i="7"/>
  <c r="P40" i="7"/>
  <c r="O40" i="7"/>
  <c r="N40" i="7"/>
  <c r="M40" i="7"/>
  <c r="L40" i="7"/>
  <c r="R39" i="7"/>
  <c r="Q39" i="7"/>
  <c r="P39" i="7"/>
  <c r="O39" i="7"/>
  <c r="N39" i="7"/>
  <c r="M39" i="7"/>
  <c r="L39" i="7"/>
  <c r="R38" i="7"/>
  <c r="Q38" i="7"/>
  <c r="P38" i="7"/>
  <c r="O38" i="7"/>
  <c r="N38" i="7"/>
  <c r="M38" i="7"/>
  <c r="L38" i="7"/>
  <c r="R37" i="7"/>
  <c r="Q37" i="7"/>
  <c r="P37" i="7"/>
  <c r="O37" i="7"/>
  <c r="N37" i="7"/>
  <c r="M37" i="7"/>
  <c r="L37" i="7"/>
  <c r="R36" i="7"/>
  <c r="Q36" i="7"/>
  <c r="P36" i="7"/>
  <c r="O36" i="7"/>
  <c r="N36" i="7"/>
  <c r="M36" i="7"/>
  <c r="L36" i="7"/>
  <c r="R35" i="7"/>
  <c r="Q35" i="7"/>
  <c r="P35" i="7"/>
  <c r="O35" i="7"/>
  <c r="N35" i="7"/>
  <c r="M35" i="7"/>
  <c r="L35" i="7"/>
  <c r="R34" i="7"/>
  <c r="Q34" i="7"/>
  <c r="P34" i="7"/>
  <c r="O34" i="7"/>
  <c r="N34" i="7"/>
  <c r="M34" i="7"/>
  <c r="L34" i="7"/>
  <c r="R33" i="7"/>
  <c r="Q33" i="7"/>
  <c r="P33" i="7"/>
  <c r="O33" i="7"/>
  <c r="N33" i="7"/>
  <c r="M33" i="7"/>
  <c r="L33" i="7"/>
  <c r="R32" i="7"/>
  <c r="Q32" i="7"/>
  <c r="P32" i="7"/>
  <c r="O32" i="7"/>
  <c r="N32" i="7"/>
  <c r="M32" i="7"/>
  <c r="L32" i="7"/>
  <c r="R31" i="7"/>
  <c r="Q31" i="7"/>
  <c r="P31" i="7"/>
  <c r="O31" i="7"/>
  <c r="N31" i="7"/>
  <c r="M31" i="7"/>
  <c r="L31" i="7"/>
  <c r="R30" i="7"/>
  <c r="Q30" i="7"/>
  <c r="P30" i="7"/>
  <c r="O30" i="7"/>
  <c r="N30" i="7"/>
  <c r="M30" i="7"/>
  <c r="L30" i="7"/>
  <c r="R29" i="7"/>
  <c r="Q29" i="7"/>
  <c r="P29" i="7"/>
  <c r="O29" i="7"/>
  <c r="N29" i="7"/>
  <c r="M29" i="7"/>
  <c r="L29" i="7"/>
  <c r="R28" i="7"/>
  <c r="Q28" i="7"/>
  <c r="P28" i="7"/>
  <c r="O28" i="7"/>
  <c r="N28" i="7"/>
  <c r="M28" i="7"/>
  <c r="L28" i="7"/>
  <c r="R27" i="7"/>
  <c r="Q27" i="7"/>
  <c r="P27" i="7"/>
  <c r="O27" i="7"/>
  <c r="N27" i="7"/>
  <c r="M27" i="7"/>
  <c r="L27" i="7"/>
  <c r="R26" i="7"/>
  <c r="Q26" i="7"/>
  <c r="P26" i="7"/>
  <c r="O26" i="7"/>
  <c r="N26" i="7"/>
  <c r="M26" i="7"/>
  <c r="L26" i="7"/>
  <c r="R25" i="7"/>
  <c r="Q25" i="7"/>
  <c r="P25" i="7"/>
  <c r="O25" i="7"/>
  <c r="N25" i="7"/>
  <c r="M25" i="7"/>
  <c r="L25" i="7"/>
  <c r="R24" i="7"/>
  <c r="Q24" i="7"/>
  <c r="P24" i="7"/>
  <c r="O24" i="7"/>
  <c r="N24" i="7"/>
  <c r="M24" i="7"/>
  <c r="L24" i="7"/>
  <c r="R23" i="7"/>
  <c r="Q23" i="7"/>
  <c r="P23" i="7"/>
  <c r="O23" i="7"/>
  <c r="N23" i="7"/>
  <c r="M23" i="7"/>
  <c r="L23" i="7"/>
  <c r="R22" i="7"/>
  <c r="Q22" i="7"/>
  <c r="P22" i="7"/>
  <c r="O22" i="7"/>
  <c r="N22" i="7"/>
  <c r="M22" i="7"/>
  <c r="L22" i="7"/>
  <c r="R21" i="7"/>
  <c r="Q21" i="7"/>
  <c r="P21" i="7"/>
  <c r="O21" i="7"/>
  <c r="N21" i="7"/>
  <c r="M21" i="7"/>
  <c r="L21" i="7"/>
  <c r="R20" i="7"/>
  <c r="Q20" i="7"/>
  <c r="P20" i="7"/>
  <c r="O20" i="7"/>
  <c r="N20" i="7"/>
  <c r="M20" i="7"/>
  <c r="L20" i="7"/>
  <c r="R19" i="7"/>
  <c r="Q19" i="7"/>
  <c r="P19" i="7"/>
  <c r="O19" i="7"/>
  <c r="N19" i="7"/>
  <c r="M19" i="7"/>
  <c r="L19" i="7"/>
  <c r="R18" i="7"/>
  <c r="Q18" i="7"/>
  <c r="P18" i="7"/>
  <c r="O18" i="7"/>
  <c r="N18" i="7"/>
  <c r="M18" i="7"/>
  <c r="L18" i="7"/>
  <c r="R17" i="7"/>
  <c r="Q17" i="7"/>
  <c r="P17" i="7"/>
  <c r="O17" i="7"/>
  <c r="N17" i="7"/>
  <c r="M17" i="7"/>
  <c r="L17" i="7"/>
  <c r="R16" i="7"/>
  <c r="Q16" i="7"/>
  <c r="P16" i="7"/>
  <c r="O16" i="7"/>
  <c r="N16" i="7"/>
  <c r="M16" i="7"/>
  <c r="L16" i="7"/>
  <c r="R15" i="7"/>
  <c r="Q15" i="7"/>
  <c r="P15" i="7"/>
  <c r="O15" i="7"/>
  <c r="N15" i="7"/>
  <c r="M15" i="7"/>
  <c r="L15" i="7"/>
  <c r="R14" i="7"/>
  <c r="Q14" i="7"/>
  <c r="P14" i="7"/>
  <c r="O14" i="7"/>
  <c r="N14" i="7"/>
  <c r="M14" i="7"/>
  <c r="L14" i="7"/>
  <c r="R13" i="7"/>
  <c r="Q13" i="7"/>
  <c r="P13" i="7"/>
  <c r="O13" i="7"/>
  <c r="N13" i="7"/>
  <c r="M13" i="7"/>
  <c r="L13" i="7"/>
  <c r="R12" i="7"/>
  <c r="Q12" i="7"/>
  <c r="P12" i="7"/>
  <c r="O12" i="7"/>
  <c r="N12" i="7"/>
  <c r="M12" i="7"/>
  <c r="L12" i="7"/>
  <c r="R11" i="7"/>
  <c r="Q11" i="7"/>
  <c r="P11" i="7"/>
  <c r="O11" i="7"/>
  <c r="N11" i="7"/>
  <c r="M11" i="7"/>
  <c r="L11" i="7"/>
  <c r="R10" i="7"/>
  <c r="Q10" i="7"/>
  <c r="P10" i="7"/>
  <c r="O10" i="7"/>
  <c r="N10" i="7"/>
  <c r="M10" i="7"/>
  <c r="L10" i="7"/>
  <c r="R9" i="7"/>
  <c r="Q9" i="7"/>
  <c r="P9" i="7"/>
  <c r="O9" i="7"/>
  <c r="N9" i="7"/>
  <c r="M9" i="7"/>
  <c r="L9" i="7"/>
  <c r="R8" i="7"/>
  <c r="Q8" i="7"/>
  <c r="P8" i="7"/>
  <c r="O8" i="7"/>
  <c r="N8" i="7"/>
  <c r="M8" i="7"/>
  <c r="L8" i="7"/>
  <c r="R7" i="7"/>
  <c r="Q7" i="7"/>
  <c r="P7" i="7"/>
  <c r="O7" i="7"/>
  <c r="N7" i="7"/>
  <c r="M7" i="7"/>
  <c r="L7" i="7"/>
  <c r="R6" i="7"/>
  <c r="Q6" i="7"/>
  <c r="P6" i="7"/>
  <c r="O6" i="7"/>
  <c r="N6" i="7"/>
  <c r="M6" i="7"/>
  <c r="L6" i="7"/>
  <c r="R5" i="7"/>
  <c r="Q5" i="7"/>
  <c r="P5" i="7"/>
  <c r="O5" i="7"/>
  <c r="N5" i="7"/>
  <c r="M5" i="7"/>
  <c r="L5" i="7"/>
  <c r="R4" i="7"/>
  <c r="Q4" i="7"/>
  <c r="P4" i="7"/>
  <c r="O4" i="7"/>
  <c r="N4" i="7"/>
  <c r="M4" i="7"/>
  <c r="L4" i="7"/>
  <c r="R3" i="7"/>
  <c r="Q3" i="7"/>
  <c r="P3" i="7"/>
  <c r="O3" i="7"/>
  <c r="N3" i="7"/>
  <c r="M3" i="7"/>
  <c r="L3" i="7"/>
  <c r="R2" i="7"/>
  <c r="Q2" i="7"/>
  <c r="P2" i="7"/>
  <c r="O2" i="7"/>
  <c r="N2" i="7"/>
  <c r="M2" i="7"/>
  <c r="L2" i="7"/>
</calcChain>
</file>

<file path=xl/sharedStrings.xml><?xml version="1.0" encoding="utf-8"?>
<sst xmlns="http://schemas.openxmlformats.org/spreadsheetml/2006/main" count="1739" uniqueCount="132">
  <si>
    <t>ARG</t>
  </si>
  <si>
    <t>Argentina</t>
  </si>
  <si>
    <t>BOL</t>
  </si>
  <si>
    <t>Bolivia</t>
  </si>
  <si>
    <t>BRA</t>
  </si>
  <si>
    <t>Brasil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</si>
  <si>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</si>
  <si>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</si>
  <si>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</si>
  <si>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</si>
  <si>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</si>
  <si>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</si>
  <si>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</si>
  <si>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</si>
  <si>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DOM</t>
  </si>
  <si>
    <t>República Dominicana</t>
  </si>
  <si>
    <t>ECU</t>
  </si>
  <si>
    <t>Ecuador</t>
  </si>
  <si>
    <t>SLV</t>
  </si>
  <si>
    <t>El Salvador</t>
  </si>
  <si>
    <t>GTM</t>
  </si>
  <si>
    <t>Guatemala</t>
  </si>
  <si>
    <t>HTI</t>
  </si>
  <si>
    <t>Haití</t>
  </si>
  <si>
    <t>HND</t>
  </si>
  <si>
    <t>Honduras</t>
  </si>
  <si>
    <t>MEX</t>
  </si>
  <si>
    <t>México</t>
  </si>
  <si>
    <t>NIC</t>
  </si>
  <si>
    <t>Nicaragua</t>
  </si>
  <si>
    <t>PAN</t>
  </si>
  <si>
    <t>Panamá</t>
  </si>
  <si>
    <t>PRY</t>
  </si>
  <si>
    <t>Paraguay</t>
  </si>
  <si>
    <t>PER</t>
  </si>
  <si>
    <t>Perú</t>
  </si>
  <si>
    <t>URY</t>
  </si>
  <si>
    <t>Uruguay</t>
  </si>
  <si>
    <t>VEN</t>
  </si>
  <si>
    <t>Venezuela</t>
  </si>
  <si>
    <t>Código ISO-3 del país</t>
  </si>
  <si>
    <t>Identificador</t>
  </si>
  <si>
    <t>texto</t>
  </si>
  <si>
    <t>Nombre del país</t>
  </si>
  <si>
    <t>Año calendario</t>
  </si>
  <si>
    <t>año</t>
  </si>
  <si>
    <t>%</t>
  </si>
  <si>
    <t>Resultado para jóvenes de 15–24 años, sexo total</t>
  </si>
  <si>
    <t>Nivel de empleo correspondiente a la categoría indicada</t>
  </si>
  <si>
    <t>miles de personas</t>
  </si>
  <si>
    <t>Población total</t>
  </si>
  <si>
    <t>PWT 11.0</t>
  </si>
  <si>
    <t>millones</t>
  </si>
  <si>
    <t>Personas ocupadas</t>
  </si>
  <si>
    <t>Horas anuales promedio por persona ocupada</t>
  </si>
  <si>
    <t>horas/año</t>
  </si>
  <si>
    <t>Índice de capital humano</t>
  </si>
  <si>
    <t>índice</t>
  </si>
  <si>
    <t>PIB real a precios nacionales constantes de 2021</t>
  </si>
  <si>
    <t>millones de US$ de 2021</t>
  </si>
  <si>
    <t>Stock de capital a precios nacionales constantes de 2021</t>
  </si>
  <si>
    <t>Productividad total de factores, 2021=1</t>
  </si>
  <si>
    <t>Participación de la remuneración laboral en el PIB</t>
  </si>
  <si>
    <t>proporción 0–1</t>
  </si>
  <si>
    <t>Construida</t>
  </si>
  <si>
    <t>0/1</t>
  </si>
  <si>
    <t>Diferencia mujeres menos hombres</t>
  </si>
  <si>
    <t>puntos porcentuales</t>
  </si>
  <si>
    <t>Empleo por horas anuales promedio</t>
  </si>
  <si>
    <t>Horas laborales totales divididas por población total</t>
  </si>
  <si>
    <t>PIB real dividido por personas ocupadas</t>
  </si>
  <si>
    <t>PIB real dividido por horas laborales totales</t>
  </si>
  <si>
    <t>ISO</t>
  </si>
  <si>
    <t>COUNTRY</t>
  </si>
  <si>
    <t>YEAR</t>
  </si>
  <si>
    <t>TD_M&gt;15</t>
  </si>
  <si>
    <t>TD_H&gt;15</t>
  </si>
  <si>
    <t>TD&gt;15</t>
  </si>
  <si>
    <t>TD_15_24</t>
  </si>
  <si>
    <t>TO_M&gt;15</t>
  </si>
  <si>
    <t>AGRO</t>
  </si>
  <si>
    <t>INDUSTRIA</t>
  </si>
  <si>
    <t>SERVICIOS</t>
  </si>
  <si>
    <t>EMPLEADOS</t>
  </si>
  <si>
    <t>EMPLEADORES</t>
  </si>
  <si>
    <t>TOTAL</t>
  </si>
  <si>
    <t>CUENTAPROPIA</t>
  </si>
  <si>
    <t>SUBEMPLEO</t>
  </si>
  <si>
    <t>TI</t>
  </si>
  <si>
    <t>TI_M</t>
  </si>
  <si>
    <t>TI_H</t>
  </si>
  <si>
    <t>POBLACION</t>
  </si>
  <si>
    <t>EMPLEO</t>
  </si>
  <si>
    <t>HORAS ANUALES PC</t>
  </si>
  <si>
    <t>INDICE DE KH</t>
  </si>
  <si>
    <t>TO&gt;15</t>
  </si>
  <si>
    <t>TO_H&gt;15</t>
  </si>
  <si>
    <t>TO_15_24</t>
  </si>
  <si>
    <t>TGP_M&gt;15</t>
  </si>
  <si>
    <t>TGP&gt;15</t>
  </si>
  <si>
    <t>TGP_H&gt;15</t>
  </si>
  <si>
    <t>TGP_15_24</t>
  </si>
  <si>
    <t>PIB</t>
  </si>
  <si>
    <t>STOCK K</t>
  </si>
  <si>
    <t>PTF</t>
  </si>
  <si>
    <t>HORAS</t>
  </si>
  <si>
    <t>PRODUCCION HORAS (USD)</t>
  </si>
  <si>
    <t>PRODUCCION HORAS TRABAJADOR (USD)</t>
  </si>
  <si>
    <t>PRODUCCION TRABAJADOR (USD)</t>
  </si>
  <si>
    <t>BRECHA EMPLEO (PP)</t>
  </si>
  <si>
    <t>BRECHA DESEMPLEO (PP)</t>
  </si>
  <si>
    <t>BRECHA TGP (PP)</t>
  </si>
  <si>
    <t>PARTICIPACIÓN LABORAL</t>
  </si>
  <si>
    <t>VARIABLE</t>
  </si>
  <si>
    <t>DEFINICION</t>
  </si>
  <si>
    <t>FUENTE</t>
  </si>
  <si>
    <t>UNIDAD</t>
  </si>
  <si>
    <t>Tasa de desempleo para mujeres de 15 años o más</t>
  </si>
  <si>
    <t>Tasa de desempleo para hombres de 15 años o más</t>
  </si>
  <si>
    <t>Tasa de desempleo total para población de 15 años o más</t>
  </si>
  <si>
    <t>Tasa de desempleo para jóvenes de 15–24 años</t>
  </si>
  <si>
    <t>Tasa de ocupación para mujeres de 15 años o más</t>
  </si>
  <si>
    <t>Tasa de ocupación para hombres de 15 años o más</t>
  </si>
  <si>
    <t>Tasa de ocupación total para población de 15 años o más</t>
  </si>
  <si>
    <t>Tasa de ocupación para jóvenes de 15–24 años</t>
  </si>
  <si>
    <t>Tasa Global de Participación para mujeres de 15 años o más</t>
  </si>
  <si>
    <t>Tasa Global de Participación para hombres de 15 años o más</t>
  </si>
  <si>
    <t>Tasa Global de participación total para población de 15 años o más</t>
  </si>
  <si>
    <t>Tasa de informalidad</t>
  </si>
  <si>
    <t>Tasa de informalidad para mujeres</t>
  </si>
  <si>
    <t>Tasa de informalidad para hombres</t>
  </si>
  <si>
    <t>ILOSTAT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</si>
</sst>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1" xfId="0" applyFont="1" applyBorder="1"/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6" xfId="0" applyFont="1" applyBorder="1"/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elLaboral" displayName="PanelLaboral" ref="A1:C56" totalsRowShown="0" headerRowDxfId="16" dataDxfId="14" headerRowBorderDxfId="15" tableBorderDxfId="13" totalsRowBorderDxfId="12">
  <tableColumns count="3">
    <tableColumn id="1" xr3:uid="{00000000-0010-0000-0000-000001000000}" name="ISO" dataDxfId="11"/>
    <tableColumn id="2" xr3:uid="{00000000-0010-0000-0000-000002000000}" name="COUNTRY" dataDxfId="10"/>
    <tableColumn id="3" xr3:uid="{00000000-0010-0000-0000-000003000000}" name="YEAR" dataDxfId="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ctionaryTable" displayName="DictionaryTable" ref="A1:D42" totalsRowShown="0" headerRowDxfId="8" dataDxfId="6" headerRowBorderDxfId="7" tableBorderDxfId="5" totalsRowBorderDxfId="4">
  <tableColumns count="4">
    <tableColumn id="1" xr3:uid="{00000000-0010-0000-0400-000001000000}" name="VARIABLE" dataDxfId="3"/>
    <tableColumn id="2" xr3:uid="{00000000-0010-0000-0400-000002000000}" name="DEFINICION" dataDxfId="2"/>
    <tableColumn id="3" xr3:uid="{00000000-0010-0000-0400-000003000000}" name="FUENTE" dataDxfId="1"/>
    <tableColumn id="4" xr3:uid="{00000000-0010-0000-0400-000004000000}" name="UNIDA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56"/>
  <sheetViews>
    <sheetView showGridLines="0" tabSelected="1" zoomScale="96" zoomScaleNormal="96" workbookViewId="0">
      <selection activeCell="H4" sqref="H4"/>
    </sheetView>
  </sheetViews>
  <sheetFormatPr defaultColWidth="8.83203125" defaultRowHeight="14"/>
  <cols>
    <col min="1" max="1" width="9" customWidth="1"/>
    <col min="2" max="2" width="22" customWidth="1"/>
    <col min="3" max="3" width="9" customWidth="1"/>
  </cols>
  <sheetData>
    <row r="1" spans="1:3" ht="43" customHeight="1">
      <c r="A1" s="1" t="s">
        <v>72</v>
      </c>
      <c r="B1" s="2" t="s">
        <v>73</v>
      </c>
      <c r="C1" s="2" t="s">
        <v>74</v>
      </c>
    </row>
    <row r="2" spans="1:3" ht="15.5">
      <c r="A2" s="14" t="s">
        <v>0</v>
      </c>
      <c r="B2" s="15" t="s">
        <v>1</v>
      </c>
      <c r="C2" s="16">
        <v>1991</v>
      </c>
    </row>
    <row r="3" spans="1:3" ht="15.5">
      <c r="A3" s="14" t="s">
        <v>0</v>
      </c>
      <c r="B3" s="15" t="s">
        <v>1</v>
      </c>
      <c r="C3" s="16">
        <v>1998</v>
      </c>
    </row>
    <row r="4" spans="1:3" ht="15.5">
      <c r="A4" s="14" t="s">
        <v>0</v>
      </c>
      <c r="B4" s="15" t="s">
        <v>1</v>
      </c>
      <c r="C4" s="16">
        <v>2000</v>
      </c>
    </row>
    <row r="5" spans="1:3" ht="15.5">
      <c r="A5" s="14" t="s">
        <v>0</v>
      </c>
      <c r="B5" s="15" t="s">
        <v>1</v>
      </c>
      <c r="C5" s="16">
        <v>2004</v>
      </c>
    </row>
    <row r="6" spans="1:3" ht="15.5">
      <c r="A6" s="14" t="s">
        <v>0</v>
      </c>
      <c r="B6" s="15" t="s">
        <v>1</v>
      </c>
      <c r="C6" s="16">
        <v>2024</v>
      </c>
    </row>
    <row r="7" spans="1:3" ht="15.5">
      <c r="A7" s="14" t="s">
        <v>2</v>
      </c>
      <c r="B7" s="15" t="s">
        <v>3</v>
      </c>
      <c r="C7" s="16">
        <v>1999</v>
      </c>
    </row>
    <row r="8" spans="1:3" ht="15.5">
      <c r="A8" s="14" t="s">
        <v>2</v>
      </c>
      <c r="B8" s="15" t="s">
        <v>3</v>
      </c>
      <c r="C8" s="16">
        <v>2003</v>
      </c>
    </row>
    <row r="9" spans="1:3" ht="15.5">
      <c r="A9" s="14" t="s">
        <v>2</v>
      </c>
      <c r="B9" s="15" t="s">
        <v>3</v>
      </c>
      <c r="C9" s="16">
        <v>2006</v>
      </c>
    </row>
    <row r="10" spans="1:3" ht="15.5">
      <c r="A10" s="14" t="s">
        <v>2</v>
      </c>
      <c r="B10" s="15" t="s">
        <v>3</v>
      </c>
      <c r="C10" s="16">
        <v>2009</v>
      </c>
    </row>
    <row r="11" spans="1:3" ht="15.5">
      <c r="A11" s="14" t="s">
        <v>2</v>
      </c>
      <c r="B11" s="15" t="s">
        <v>3</v>
      </c>
      <c r="C11" s="16">
        <v>2010</v>
      </c>
    </row>
    <row r="12" spans="1:3" ht="15.5">
      <c r="A12" s="14" t="s">
        <v>2</v>
      </c>
      <c r="B12" s="15" t="s">
        <v>3</v>
      </c>
      <c r="C12" s="16">
        <v>2022</v>
      </c>
    </row>
    <row r="13" spans="1:3" ht="15.5">
      <c r="A13" s="14" t="s">
        <v>4</v>
      </c>
      <c r="B13" s="15" t="s">
        <v>5</v>
      </c>
      <c r="C13" s="16">
        <v>2017</v>
      </c>
    </row>
    <row r="14" spans="1:3" ht="15.5">
      <c r="A14" s="14" t="s">
        <v>6</v>
      </c>
      <c r="B14" s="15" t="s">
        <v>7</v>
      </c>
      <c r="C14" s="16">
        <v>2001</v>
      </c>
    </row>
    <row r="15" spans="1:3" ht="15.5">
      <c r="A15" s="14" t="s">
        <v>6</v>
      </c>
      <c r="B15" s="15" t="s">
        <v>7</v>
      </c>
      <c r="C15" s="16">
        <v>2016</v>
      </c>
    </row>
    <row r="16" spans="1:3" ht="15.5">
      <c r="A16" s="14" t="s">
        <v>6</v>
      </c>
      <c r="B16" s="15" t="s">
        <v>7</v>
      </c>
      <c r="C16" s="16">
        <v>2023</v>
      </c>
    </row>
    <row r="17" spans="1:3" ht="15.5">
      <c r="A17" s="14" t="s">
        <v>8</v>
      </c>
      <c r="B17" s="15" t="s">
        <v>9</v>
      </c>
      <c r="C17" s="16">
        <v>2002</v>
      </c>
    </row>
    <row r="18" spans="1:3" ht="15.5">
      <c r="A18" s="14" t="s">
        <v>8</v>
      </c>
      <c r="B18" s="15" t="s">
        <v>9</v>
      </c>
      <c r="C18" s="16">
        <v>2025</v>
      </c>
    </row>
    <row r="19" spans="1:3" ht="15.5">
      <c r="A19" s="14" t="s">
        <v>10</v>
      </c>
      <c r="B19" s="15" t="s">
        <v>11</v>
      </c>
      <c r="C19" s="16">
        <v>2000</v>
      </c>
    </row>
    <row r="20" spans="1:3" ht="15.5">
      <c r="A20" s="14" t="s">
        <v>10</v>
      </c>
      <c r="B20" s="15" t="s">
        <v>11</v>
      </c>
      <c r="C20" s="16">
        <v>2017</v>
      </c>
    </row>
    <row r="21" spans="1:3" ht="15.5">
      <c r="A21" s="14" t="s">
        <v>12</v>
      </c>
      <c r="B21" s="15" t="s">
        <v>13</v>
      </c>
      <c r="C21" s="16">
        <v>2013</v>
      </c>
    </row>
    <row r="22" spans="1:3" ht="15.5">
      <c r="A22" s="14" t="s">
        <v>14</v>
      </c>
      <c r="B22" s="15" t="s">
        <v>15</v>
      </c>
      <c r="C22" s="16">
        <v>1992</v>
      </c>
    </row>
    <row r="23" spans="1:3" ht="15.5">
      <c r="A23" s="14" t="s">
        <v>14</v>
      </c>
      <c r="B23" s="15" t="s">
        <v>15</v>
      </c>
      <c r="C23" s="16">
        <v>2001</v>
      </c>
    </row>
    <row r="24" spans="1:3" ht="15.5">
      <c r="A24" s="14" t="s">
        <v>16</v>
      </c>
      <c r="B24" s="15" t="s">
        <v>17</v>
      </c>
      <c r="C24" s="16">
        <v>1991</v>
      </c>
    </row>
    <row r="25" spans="1:3" ht="15.5">
      <c r="A25" s="14" t="s">
        <v>16</v>
      </c>
      <c r="B25" s="15" t="s">
        <v>17</v>
      </c>
      <c r="C25" s="16">
        <v>2000</v>
      </c>
    </row>
    <row r="26" spans="1:3" ht="15.5">
      <c r="A26" s="14" t="s">
        <v>16</v>
      </c>
      <c r="B26" s="15" t="s">
        <v>17</v>
      </c>
      <c r="C26" s="16">
        <v>2005</v>
      </c>
    </row>
    <row r="27" spans="1:3" ht="15.5">
      <c r="A27" s="14" t="s">
        <v>16</v>
      </c>
      <c r="B27" s="15" t="s">
        <v>17</v>
      </c>
      <c r="C27" s="16">
        <v>2008</v>
      </c>
    </row>
    <row r="28" spans="1:3" ht="15.5">
      <c r="A28" s="14" t="s">
        <v>16</v>
      </c>
      <c r="B28" s="15" t="s">
        <v>17</v>
      </c>
      <c r="C28" s="16">
        <v>2015</v>
      </c>
    </row>
    <row r="29" spans="1:3" ht="15.5">
      <c r="A29" s="14" t="s">
        <v>18</v>
      </c>
      <c r="B29" s="15" t="s">
        <v>19</v>
      </c>
      <c r="C29" s="16">
        <v>2022</v>
      </c>
    </row>
    <row r="30" spans="1:3" ht="15.5">
      <c r="A30" s="14" t="s">
        <v>20</v>
      </c>
      <c r="B30" s="15" t="s">
        <v>21</v>
      </c>
      <c r="C30" s="16">
        <v>2017</v>
      </c>
    </row>
    <row r="31" spans="1:3" ht="15.5">
      <c r="A31" s="14" t="s">
        <v>20</v>
      </c>
      <c r="B31" s="15" t="s">
        <v>21</v>
      </c>
      <c r="C31" s="16">
        <v>2019</v>
      </c>
    </row>
    <row r="32" spans="1:3" ht="15" customHeight="1">
      <c r="A32" s="14" t="s">
        <v>22</v>
      </c>
      <c r="B32" s="15" t="s">
        <v>23</v>
      </c>
      <c r="C32" s="16">
        <v>2006</v>
      </c>
    </row>
    <row r="33" spans="1:3" ht="15.5">
      <c r="A33" s="14" t="s">
        <v>22</v>
      </c>
      <c r="B33" s="15" t="s">
        <v>23</v>
      </c>
      <c r="C33" s="16">
        <v>2022</v>
      </c>
    </row>
    <row r="34" spans="1:3" ht="15.5">
      <c r="A34" s="14" t="s">
        <v>24</v>
      </c>
      <c r="B34" s="15" t="s">
        <v>25</v>
      </c>
      <c r="C34" s="16">
        <v>2014</v>
      </c>
    </row>
    <row r="35" spans="1:3" ht="15.5">
      <c r="A35" s="14" t="s">
        <v>24</v>
      </c>
      <c r="B35" s="15" t="s">
        <v>25</v>
      </c>
      <c r="C35" s="16">
        <v>2022</v>
      </c>
    </row>
    <row r="36" spans="1:3" ht="15.5">
      <c r="A36" s="14" t="s">
        <v>26</v>
      </c>
      <c r="B36" s="15" t="s">
        <v>27</v>
      </c>
      <c r="C36" s="16">
        <v>2012</v>
      </c>
    </row>
    <row r="37" spans="1:3" ht="15.5">
      <c r="A37" s="14" t="s">
        <v>26</v>
      </c>
      <c r="B37" s="15" t="s">
        <v>27</v>
      </c>
      <c r="C37" s="16">
        <v>2017</v>
      </c>
    </row>
    <row r="38" spans="1:3" ht="15.5">
      <c r="A38" s="14" t="s">
        <v>26</v>
      </c>
      <c r="B38" s="15" t="s">
        <v>27</v>
      </c>
      <c r="C38" s="16">
        <v>2019</v>
      </c>
    </row>
    <row r="39" spans="1:3" ht="15.5">
      <c r="A39" s="14" t="s">
        <v>28</v>
      </c>
      <c r="B39" s="15" t="s">
        <v>29</v>
      </c>
      <c r="C39" s="16">
        <v>1996</v>
      </c>
    </row>
    <row r="40" spans="1:3" ht="15.5">
      <c r="A40" s="14" t="s">
        <v>28</v>
      </c>
      <c r="B40" s="15" t="s">
        <v>29</v>
      </c>
      <c r="C40" s="16">
        <v>2012</v>
      </c>
    </row>
    <row r="41" spans="1:3" ht="15.5">
      <c r="A41" s="14" t="s">
        <v>30</v>
      </c>
      <c r="B41" s="15" t="s">
        <v>31</v>
      </c>
      <c r="C41" s="16">
        <v>1995</v>
      </c>
    </row>
    <row r="42" spans="1:3" ht="15.5">
      <c r="A42" s="14" t="s">
        <v>30</v>
      </c>
      <c r="B42" s="15" t="s">
        <v>31</v>
      </c>
      <c r="C42" s="16">
        <v>2020</v>
      </c>
    </row>
    <row r="43" spans="1:3" ht="15.5">
      <c r="A43" s="14" t="s">
        <v>32</v>
      </c>
      <c r="B43" s="15" t="s">
        <v>33</v>
      </c>
      <c r="C43" s="16">
        <v>1993</v>
      </c>
    </row>
    <row r="44" spans="1:3" ht="15.5">
      <c r="A44" s="14" t="s">
        <v>32</v>
      </c>
      <c r="B44" s="15" t="s">
        <v>33</v>
      </c>
      <c r="C44" s="16">
        <v>1995</v>
      </c>
    </row>
    <row r="45" spans="1:3" ht="15.5">
      <c r="A45" s="14" t="s">
        <v>32</v>
      </c>
      <c r="B45" s="15" t="s">
        <v>33</v>
      </c>
      <c r="C45" s="16">
        <v>2015</v>
      </c>
    </row>
    <row r="46" spans="1:3" ht="15.5">
      <c r="A46" s="14" t="s">
        <v>34</v>
      </c>
      <c r="B46" s="15" t="s">
        <v>35</v>
      </c>
      <c r="C46" s="16">
        <v>1991</v>
      </c>
    </row>
    <row r="47" spans="1:3" ht="15.5">
      <c r="A47" s="14" t="s">
        <v>34</v>
      </c>
      <c r="B47" s="15" t="s">
        <v>35</v>
      </c>
      <c r="C47" s="16">
        <v>2002</v>
      </c>
    </row>
    <row r="48" spans="1:3" ht="15.5">
      <c r="A48" s="14" t="s">
        <v>34</v>
      </c>
      <c r="B48" s="15" t="s">
        <v>35</v>
      </c>
      <c r="C48" s="16">
        <v>2010</v>
      </c>
    </row>
    <row r="49" spans="1:3" ht="15.5">
      <c r="A49" s="14" t="s">
        <v>34</v>
      </c>
      <c r="B49" s="15" t="s">
        <v>35</v>
      </c>
      <c r="C49" s="16">
        <v>2014</v>
      </c>
    </row>
    <row r="50" spans="1:3" ht="15.5">
      <c r="A50" s="14" t="s">
        <v>36</v>
      </c>
      <c r="B50" s="15" t="s">
        <v>37</v>
      </c>
      <c r="C50" s="16">
        <v>2006</v>
      </c>
    </row>
    <row r="51" spans="1:3" ht="15.5">
      <c r="A51" s="14" t="s">
        <v>36</v>
      </c>
      <c r="B51" s="15" t="s">
        <v>37</v>
      </c>
      <c r="C51" s="16">
        <v>2009</v>
      </c>
    </row>
    <row r="52" spans="1:3" ht="15.5">
      <c r="A52" s="14" t="s">
        <v>36</v>
      </c>
      <c r="B52" s="15" t="s">
        <v>37</v>
      </c>
      <c r="C52" s="16">
        <v>2021</v>
      </c>
    </row>
    <row r="53" spans="1:3" ht="15.5">
      <c r="A53" s="14" t="s">
        <v>38</v>
      </c>
      <c r="B53" s="15" t="s">
        <v>39</v>
      </c>
      <c r="C53" s="16">
        <v>1997</v>
      </c>
    </row>
    <row r="54" spans="1:3" ht="15.5">
      <c r="A54" s="14" t="s">
        <v>38</v>
      </c>
      <c r="B54" s="15" t="s">
        <v>39</v>
      </c>
      <c r="C54" s="16">
        <v>2002</v>
      </c>
    </row>
    <row r="55" spans="1:3" ht="15.5">
      <c r="A55" s="14" t="s">
        <v>38</v>
      </c>
      <c r="B55" s="15" t="s">
        <v>39</v>
      </c>
      <c r="C55" s="16">
        <v>2012</v>
      </c>
    </row>
    <row r="56" spans="1:3" ht="15.5">
      <c r="A56" s="14" t="s">
        <v>38</v>
      </c>
      <c r="B56" s="15" t="s">
        <v>39</v>
      </c>
      <c r="C56" s="16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D7E9-8622-E94E-BC85-9B5362EA9DBD}">
  <sheetPr codeName="Sheet2"/>
  <dimension ref="A1:R721"/>
  <sheetViews>
    <sheetView workbookViewId="0"/>
  </sheetViews>
  <sheetFormatPr defaultColWidth="10.6640625" defaultRowHeight="14"/>
  <cols>
    <col min="2" max="2" width="12" customWidth="1"/>
    <col min="4" max="5" width="16" customWidth="1"/>
    <col min="6" max="6" width="21.6640625" customWidth="1"/>
    <col min="7" max="10" width="16" customWidth="1"/>
    <col min="11" max="11" width="19.1640625" customWidth="1"/>
    <col min="12" max="15" width="16" customWidth="1"/>
    <col min="16" max="16" width="24.33203125" customWidth="1"/>
    <col min="17" max="17" width="16" customWidth="1"/>
    <col min="18" max="18" width="26" customWidth="1"/>
  </cols>
  <sheetData>
    <row r="1" spans="1:18" ht="45" customHeight="1">
      <c r="A1" s="10" t="s">
        <v>72</v>
      </c>
      <c r="B1" s="10" t="s">
        <v>73</v>
      </c>
      <c r="C1" s="10" t="s">
        <v>74</v>
      </c>
      <c r="D1" s="10" t="s">
        <v>91</v>
      </c>
      <c r="E1" s="10" t="s">
        <v>92</v>
      </c>
      <c r="F1" s="10" t="s">
        <v>93</v>
      </c>
      <c r="G1" s="10" t="s">
        <v>94</v>
      </c>
      <c r="H1" s="10" t="s">
        <v>102</v>
      </c>
      <c r="I1" s="10" t="s">
        <v>103</v>
      </c>
      <c r="J1" s="10" t="s">
        <v>104</v>
      </c>
      <c r="K1" s="10" t="s">
        <v>112</v>
      </c>
      <c r="L1" s="10" t="s">
        <v>110</v>
      </c>
      <c r="M1" s="10" t="s">
        <v>109</v>
      </c>
      <c r="N1" s="10" t="s">
        <v>111</v>
      </c>
      <c r="O1" s="10" t="s">
        <v>105</v>
      </c>
      <c r="P1" s="10" t="s">
        <v>108</v>
      </c>
      <c r="Q1" s="10" t="s">
        <v>106</v>
      </c>
      <c r="R1" s="10" t="s">
        <v>107</v>
      </c>
    </row>
    <row r="2" spans="1:18" ht="15.5">
      <c r="A2" s="7" t="s">
        <v>0</v>
      </c>
      <c r="B2" s="7" t="s">
        <v>1</v>
      </c>
      <c r="C2" s="8">
        <v>1990</v>
      </c>
      <c r="D2" s="9">
        <v>32.755901000000001</v>
      </c>
      <c r="E2" s="9">
        <v>11.8114786148071</v>
      </c>
      <c r="F2" s="9">
        <v>1850</v>
      </c>
      <c r="G2" s="9">
        <v>2.5290296077728298</v>
      </c>
      <c r="H2" s="9">
        <v>541225.25</v>
      </c>
      <c r="I2" s="9">
        <v>2316432</v>
      </c>
      <c r="J2" s="9">
        <v>0.93828409910202004</v>
      </c>
      <c r="K2" s="9">
        <v>0.46776169538497903</v>
      </c>
      <c r="L2" s="9" t="e">
        <f>IF(OR(OIT!#REF!="",OIT!#REF!=""),"",OIT!#REF!-OIT!#REF!)</f>
        <v>#REF!</v>
      </c>
      <c r="M2" s="9" t="e">
        <f>IF(OR(OIT!#REF!="",OIT!#REF!=""),"",OIT!#REF!-OIT!#REF!)</f>
        <v>#REF!</v>
      </c>
      <c r="N2" s="9" t="e">
        <f>IF(OR(OIT!#REF!="",OIT!#REF!=""),"",OIT!#REF!-OIT!#REF!)</f>
        <v>#REF!</v>
      </c>
      <c r="O2" s="9">
        <f t="shared" ref="O2:O65" si="0">IFERROR(E2*F2,"")</f>
        <v>21851.235437393138</v>
      </c>
      <c r="P2" s="9">
        <f t="shared" ref="P2:P65" si="1">IFERROR(H2/E2,"")</f>
        <v>45821.972646295908</v>
      </c>
      <c r="Q2" s="9">
        <f t="shared" ref="Q2:Q65" si="2">IFERROR(H2/(E2*F2),"")</f>
        <v>24.76863386286265</v>
      </c>
      <c r="R2" s="9">
        <f t="shared" ref="R2:R65" si="3">IFERROR(I2/E2,"")</f>
        <v>196117.02103884568</v>
      </c>
    </row>
    <row r="3" spans="1:18" ht="15.5">
      <c r="A3" s="7" t="s">
        <v>0</v>
      </c>
      <c r="B3" s="7" t="s">
        <v>1</v>
      </c>
      <c r="C3" s="8">
        <v>1991</v>
      </c>
      <c r="D3" s="9">
        <v>33.230294000000001</v>
      </c>
      <c r="E3" s="9">
        <v>12.1906824111938</v>
      </c>
      <c r="F3" s="9">
        <v>1837.96</v>
      </c>
      <c r="G3" s="9">
        <v>2.5525679588317902</v>
      </c>
      <c r="H3" s="9">
        <v>598032.5</v>
      </c>
      <c r="I3" s="9">
        <v>2337542.75</v>
      </c>
      <c r="J3" s="9">
        <v>1.01589155197144</v>
      </c>
      <c r="K3" s="9">
        <v>0.46776169538497903</v>
      </c>
      <c r="L3" s="9" t="e">
        <f>IF(OR(OIT!#REF!="",OIT!#REF!=""),"",OIT!#REF!-OIT!#REF!)</f>
        <v>#REF!</v>
      </c>
      <c r="M3" s="9" t="e">
        <f>IF(OR(OIT!#REF!="",OIT!#REF!=""),"",OIT!#REF!-OIT!#REF!)</f>
        <v>#REF!</v>
      </c>
      <c r="N3" s="9" t="e">
        <f>IF(OR(OIT!#REF!="",OIT!#REF!=""),"",OIT!#REF!-OIT!#REF!)</f>
        <v>#REF!</v>
      </c>
      <c r="O3" s="9">
        <f t="shared" si="0"/>
        <v>22405.986644477758</v>
      </c>
      <c r="P3" s="9">
        <f t="shared" si="1"/>
        <v>49056.523648821421</v>
      </c>
      <c r="Q3" s="9">
        <f t="shared" si="2"/>
        <v>26.690746071090459</v>
      </c>
      <c r="R3" s="9">
        <f t="shared" si="3"/>
        <v>191748.30999236004</v>
      </c>
    </row>
    <row r="4" spans="1:18" ht="15.5">
      <c r="A4" s="7" t="s">
        <v>0</v>
      </c>
      <c r="B4" s="7" t="s">
        <v>1</v>
      </c>
      <c r="C4" s="8">
        <v>1992</v>
      </c>
      <c r="D4" s="9">
        <v>33.693527000000003</v>
      </c>
      <c r="E4" s="9">
        <v>12.3859348297119</v>
      </c>
      <c r="F4" s="9">
        <v>1826</v>
      </c>
      <c r="G4" s="9">
        <v>2.57097387313843</v>
      </c>
      <c r="H4" s="9">
        <v>659656.875</v>
      </c>
      <c r="I4" s="9">
        <v>2388928.5</v>
      </c>
      <c r="J4" s="9">
        <v>1.0971821546554601</v>
      </c>
      <c r="K4" s="9">
        <v>0.46776169538497903</v>
      </c>
      <c r="L4" s="9" t="e">
        <f>IF(OR(OIT!#REF!="",OIT!#REF!=""),"",OIT!#REF!-OIT!#REF!)</f>
        <v>#REF!</v>
      </c>
      <c r="M4" s="9" t="e">
        <f>IF(OR(OIT!#REF!="",OIT!#REF!=""),"",OIT!#REF!-OIT!#REF!)</f>
        <v>#REF!</v>
      </c>
      <c r="N4" s="9" t="e">
        <f>IF(OR(OIT!#REF!="",OIT!#REF!=""),"",OIT!#REF!-OIT!#REF!)</f>
        <v>#REF!</v>
      </c>
      <c r="O4" s="9">
        <f t="shared" si="0"/>
        <v>22616.71699905393</v>
      </c>
      <c r="P4" s="9">
        <f t="shared" si="1"/>
        <v>53258.545605906744</v>
      </c>
      <c r="Q4" s="9">
        <f t="shared" si="2"/>
        <v>29.166782916706868</v>
      </c>
      <c r="R4" s="9">
        <f t="shared" si="3"/>
        <v>192874.29918243541</v>
      </c>
    </row>
    <row r="5" spans="1:18" ht="15.5">
      <c r="A5" s="7" t="s">
        <v>0</v>
      </c>
      <c r="B5" s="7" t="s">
        <v>1</v>
      </c>
      <c r="C5" s="8">
        <v>1993</v>
      </c>
      <c r="D5" s="9">
        <v>34.152717000000003</v>
      </c>
      <c r="E5" s="9">
        <v>12.345012664794901</v>
      </c>
      <c r="F5" s="9">
        <v>1850.34</v>
      </c>
      <c r="G5" s="9">
        <v>2.5870599746704102</v>
      </c>
      <c r="H5" s="9">
        <v>700896.375</v>
      </c>
      <c r="I5" s="9">
        <v>2457381</v>
      </c>
      <c r="J5" s="9">
        <v>1.13671278953552</v>
      </c>
      <c r="K5" s="9">
        <v>0.46776169538497903</v>
      </c>
      <c r="L5" s="9" t="e">
        <f>IF(OR(OIT!#REF!="",OIT!#REF!=""),"",OIT!#REF!-OIT!#REF!)</f>
        <v>#REF!</v>
      </c>
      <c r="M5" s="9" t="e">
        <f>IF(OR(OIT!#REF!="",OIT!#REF!=""),"",OIT!#REF!-OIT!#REF!)</f>
        <v>#REF!</v>
      </c>
      <c r="N5" s="9" t="e">
        <f>IF(OR(OIT!#REF!="",OIT!#REF!=""),"",OIT!#REF!-OIT!#REF!)</f>
        <v>#REF!</v>
      </c>
      <c r="O5" s="9">
        <f t="shared" si="0"/>
        <v>22842.470734176597</v>
      </c>
      <c r="P5" s="9">
        <f t="shared" si="1"/>
        <v>56775.670793663347</v>
      </c>
      <c r="Q5" s="9">
        <f t="shared" si="2"/>
        <v>30.683912574804278</v>
      </c>
      <c r="R5" s="9">
        <f t="shared" si="3"/>
        <v>199058.60501932719</v>
      </c>
    </row>
    <row r="6" spans="1:18" ht="15.5">
      <c r="A6" s="7" t="s">
        <v>0</v>
      </c>
      <c r="B6" s="7" t="s">
        <v>1</v>
      </c>
      <c r="C6" s="8">
        <v>1994</v>
      </c>
      <c r="D6" s="9">
        <v>34.613491000000003</v>
      </c>
      <c r="E6" s="9">
        <v>12.4161834716797</v>
      </c>
      <c r="F6" s="9">
        <v>1875</v>
      </c>
      <c r="G6" s="9">
        <v>2.6032464504241899</v>
      </c>
      <c r="H6" s="9">
        <v>741802.4375</v>
      </c>
      <c r="I6" s="9">
        <v>2540939.25</v>
      </c>
      <c r="J6" s="9">
        <v>1.1640666723251301</v>
      </c>
      <c r="K6" s="9">
        <v>0.45800021290779103</v>
      </c>
      <c r="L6" s="9" t="e">
        <f>IF(OR(OIT!#REF!="",OIT!#REF!=""),"",OIT!#REF!-OIT!#REF!)</f>
        <v>#REF!</v>
      </c>
      <c r="M6" s="9" t="e">
        <f>IF(OR(OIT!#REF!="",OIT!#REF!=""),"",OIT!#REF!-OIT!#REF!)</f>
        <v>#REF!</v>
      </c>
      <c r="N6" s="9" t="e">
        <f>IF(OR(OIT!#REF!="",OIT!#REF!=""),"",OIT!#REF!-OIT!#REF!)</f>
        <v>#REF!</v>
      </c>
      <c r="O6" s="9">
        <f t="shared" si="0"/>
        <v>23280.344009399436</v>
      </c>
      <c r="P6" s="9">
        <f t="shared" si="1"/>
        <v>59744.803158876537</v>
      </c>
      <c r="Q6" s="9">
        <f t="shared" si="2"/>
        <v>31.863895018067488</v>
      </c>
      <c r="R6" s="9">
        <f t="shared" si="3"/>
        <v>204647.36654348535</v>
      </c>
    </row>
    <row r="7" spans="1:18" ht="15.5">
      <c r="A7" s="7" t="s">
        <v>0</v>
      </c>
      <c r="B7" s="7" t="s">
        <v>1</v>
      </c>
      <c r="C7" s="8">
        <v>1995</v>
      </c>
      <c r="D7" s="9">
        <v>35.07002</v>
      </c>
      <c r="E7" s="9">
        <v>11.835313796997101</v>
      </c>
      <c r="F7" s="9">
        <v>1881.96</v>
      </c>
      <c r="G7" s="9">
        <v>2.6195344924926798</v>
      </c>
      <c r="H7" s="9">
        <v>720696.3125</v>
      </c>
      <c r="I7" s="9">
        <v>2597811.25</v>
      </c>
      <c r="J7" s="9">
        <v>1.1340115070343</v>
      </c>
      <c r="K7" s="9">
        <v>0.41186898946762102</v>
      </c>
      <c r="L7" s="9" t="e">
        <f>IF(OR(OIT!#REF!="",OIT!#REF!=""),"",OIT!#REF!-OIT!#REF!)</f>
        <v>#REF!</v>
      </c>
      <c r="M7" s="9" t="e">
        <f>IF(OR(OIT!#REF!="",OIT!#REF!=""),"",OIT!#REF!-OIT!#REF!)</f>
        <v>#REF!</v>
      </c>
      <c r="N7" s="9" t="e">
        <f>IF(OR(OIT!#REF!="",OIT!#REF!=""),"",OIT!#REF!-OIT!#REF!)</f>
        <v>#REF!</v>
      </c>
      <c r="O7" s="9">
        <f t="shared" si="0"/>
        <v>22273.587153396664</v>
      </c>
      <c r="P7" s="9">
        <f t="shared" si="1"/>
        <v>60893.722368633586</v>
      </c>
      <c r="Q7" s="9">
        <f t="shared" si="2"/>
        <v>32.356544436987811</v>
      </c>
      <c r="R7" s="9">
        <f t="shared" si="3"/>
        <v>219496.60943160849</v>
      </c>
    </row>
    <row r="8" spans="1:18" ht="15.5">
      <c r="A8" s="7" t="s">
        <v>0</v>
      </c>
      <c r="B8" s="7" t="s">
        <v>1</v>
      </c>
      <c r="C8" s="8">
        <v>1996</v>
      </c>
      <c r="D8" s="9">
        <v>35.513793</v>
      </c>
      <c r="E8" s="9">
        <v>12.137213706970201</v>
      </c>
      <c r="F8" s="9">
        <v>1888.95</v>
      </c>
      <c r="G8" s="9">
        <v>2.6270239353179901</v>
      </c>
      <c r="H8" s="9">
        <v>760526.75</v>
      </c>
      <c r="I8" s="9">
        <v>2664185.75</v>
      </c>
      <c r="J8" s="9">
        <v>1.1615854501724201</v>
      </c>
      <c r="K8" s="9">
        <v>0.38058570027351402</v>
      </c>
      <c r="L8" s="9" t="e">
        <f>IF(OR(OIT!#REF!="",OIT!#REF!=""),"",OIT!#REF!-OIT!#REF!)</f>
        <v>#REF!</v>
      </c>
      <c r="M8" s="9" t="e">
        <f>IF(OR(OIT!#REF!="",OIT!#REF!=""),"",OIT!#REF!-OIT!#REF!)</f>
        <v>#REF!</v>
      </c>
      <c r="N8" s="9" t="e">
        <f>IF(OR(OIT!#REF!="",OIT!#REF!=""),"",OIT!#REF!-OIT!#REF!)</f>
        <v>#REF!</v>
      </c>
      <c r="O8" s="9">
        <f t="shared" si="0"/>
        <v>22926.589831781363</v>
      </c>
      <c r="P8" s="9">
        <f t="shared" si="1"/>
        <v>62660.736505219655</v>
      </c>
      <c r="Q8" s="9">
        <f t="shared" si="2"/>
        <v>33.172257870891052</v>
      </c>
      <c r="R8" s="9">
        <f t="shared" si="3"/>
        <v>219505.54833437613</v>
      </c>
    </row>
    <row r="9" spans="1:18" ht="15.5">
      <c r="A9" s="7" t="s">
        <v>0</v>
      </c>
      <c r="B9" s="7" t="s">
        <v>1</v>
      </c>
      <c r="C9" s="8">
        <v>1997</v>
      </c>
      <c r="D9" s="9">
        <v>35.947791000000002</v>
      </c>
      <c r="E9" s="9">
        <v>12.762509346008301</v>
      </c>
      <c r="F9" s="9">
        <v>1895.96</v>
      </c>
      <c r="G9" s="9">
        <v>2.6345345973968501</v>
      </c>
      <c r="H9" s="9">
        <v>822213.5625</v>
      </c>
      <c r="I9" s="9">
        <v>2753937</v>
      </c>
      <c r="J9" s="9">
        <v>1.2005816698074301</v>
      </c>
      <c r="K9" s="9">
        <v>0.364353477954865</v>
      </c>
      <c r="L9" s="9" t="e">
        <f>IF(OR(OIT!#REF!="",OIT!#REF!=""),"",OIT!#REF!-OIT!#REF!)</f>
        <v>#REF!</v>
      </c>
      <c r="M9" s="9" t="e">
        <f>IF(OR(OIT!#REF!="",OIT!#REF!=""),"",OIT!#REF!-OIT!#REF!)</f>
        <v>#REF!</v>
      </c>
      <c r="N9" s="9" t="e">
        <f>IF(OR(OIT!#REF!="",OIT!#REF!=""),"",OIT!#REF!-OIT!#REF!)</f>
        <v>#REF!</v>
      </c>
      <c r="O9" s="9">
        <f t="shared" si="0"/>
        <v>24197.207219657899</v>
      </c>
      <c r="P9" s="9">
        <f t="shared" si="1"/>
        <v>64424.130099239592</v>
      </c>
      <c r="Q9" s="9">
        <f t="shared" si="2"/>
        <v>33.979688442393083</v>
      </c>
      <c r="R9" s="9">
        <f t="shared" si="3"/>
        <v>215783.3483476619</v>
      </c>
    </row>
    <row r="10" spans="1:18" ht="15.5">
      <c r="A10" s="7" t="s">
        <v>0</v>
      </c>
      <c r="B10" s="7" t="s">
        <v>1</v>
      </c>
      <c r="C10" s="8">
        <v>1998</v>
      </c>
      <c r="D10" s="9">
        <v>36.372860000000003</v>
      </c>
      <c r="E10" s="9">
        <v>13.351142883300801</v>
      </c>
      <c r="F10" s="9">
        <v>1903</v>
      </c>
      <c r="G10" s="9">
        <v>2.6420669555664098</v>
      </c>
      <c r="H10" s="9">
        <v>853870.25</v>
      </c>
      <c r="I10" s="9">
        <v>2850290</v>
      </c>
      <c r="J10" s="9">
        <v>1.1932283639907799</v>
      </c>
      <c r="K10" s="9">
        <v>0.37682738900184598</v>
      </c>
      <c r="L10" s="9" t="e">
        <f>IF(OR(OIT!#REF!="",OIT!#REF!=""),"",OIT!#REF!-OIT!#REF!)</f>
        <v>#REF!</v>
      </c>
      <c r="M10" s="9" t="e">
        <f>IF(OR(OIT!#REF!="",OIT!#REF!=""),"",OIT!#REF!-OIT!#REF!)</f>
        <v>#REF!</v>
      </c>
      <c r="N10" s="9" t="e">
        <f>IF(OR(OIT!#REF!="",OIT!#REF!=""),"",OIT!#REF!-OIT!#REF!)</f>
        <v>#REF!</v>
      </c>
      <c r="O10" s="9">
        <f t="shared" si="0"/>
        <v>25407.224906921423</v>
      </c>
      <c r="P10" s="9">
        <f t="shared" si="1"/>
        <v>63954.843226791818</v>
      </c>
      <c r="Q10" s="9">
        <f t="shared" si="2"/>
        <v>33.607379520121818</v>
      </c>
      <c r="R10" s="9">
        <f t="shared" si="3"/>
        <v>213486.59248977518</v>
      </c>
    </row>
    <row r="11" spans="1:18" ht="15.5">
      <c r="A11" s="7" t="s">
        <v>0</v>
      </c>
      <c r="B11" s="7" t="s">
        <v>1</v>
      </c>
      <c r="C11" s="8">
        <v>1999</v>
      </c>
      <c r="D11" s="9">
        <v>36.794682000000002</v>
      </c>
      <c r="E11" s="9">
        <v>13.461275100708001</v>
      </c>
      <c r="F11" s="9">
        <v>1887.29</v>
      </c>
      <c r="G11" s="9">
        <v>2.6496207714080802</v>
      </c>
      <c r="H11" s="9">
        <v>824962.8125</v>
      </c>
      <c r="I11" s="9">
        <v>2917020.25</v>
      </c>
      <c r="J11" s="9">
        <v>1.1337097883224501</v>
      </c>
      <c r="K11" s="9">
        <v>0.403305023908615</v>
      </c>
      <c r="L11" s="9" t="e">
        <f>IF(OR(OIT!#REF!="",OIT!#REF!=""),"",OIT!#REF!-OIT!#REF!)</f>
        <v>#REF!</v>
      </c>
      <c r="M11" s="9" t="e">
        <f>IF(OR(OIT!#REF!="",OIT!#REF!=""),"",OIT!#REF!-OIT!#REF!)</f>
        <v>#REF!</v>
      </c>
      <c r="N11" s="9" t="e">
        <f>IF(OR(OIT!#REF!="",OIT!#REF!=""),"",OIT!#REF!-OIT!#REF!)</f>
        <v>#REF!</v>
      </c>
      <c r="O11" s="9">
        <f t="shared" si="0"/>
        <v>25405.329884815201</v>
      </c>
      <c r="P11" s="9">
        <f t="shared" si="1"/>
        <v>61284.150745616273</v>
      </c>
      <c r="Q11" s="9">
        <f t="shared" si="2"/>
        <v>32.472037019014714</v>
      </c>
      <c r="R11" s="9">
        <f t="shared" si="3"/>
        <v>216697.17230922487</v>
      </c>
    </row>
    <row r="12" spans="1:18" ht="15.5">
      <c r="A12" s="7" t="s">
        <v>0</v>
      </c>
      <c r="B12" s="7" t="s">
        <v>1</v>
      </c>
      <c r="C12" s="8">
        <v>2000</v>
      </c>
      <c r="D12" s="9">
        <v>37.213984000000004</v>
      </c>
      <c r="E12" s="9">
        <v>13.598361015319799</v>
      </c>
      <c r="F12" s="9">
        <v>1862.14</v>
      </c>
      <c r="G12" s="9">
        <v>2.6571960449218799</v>
      </c>
      <c r="H12" s="9">
        <v>818454</v>
      </c>
      <c r="I12" s="9">
        <v>2969278.5</v>
      </c>
      <c r="J12" s="9">
        <v>1.1124005317687999</v>
      </c>
      <c r="K12" s="9">
        <v>0.40027710795402499</v>
      </c>
      <c r="L12" s="9" t="e">
        <f>IF(OR(OIT!#REF!="",OIT!#REF!=""),"",OIT!#REF!-OIT!#REF!)</f>
        <v>#REF!</v>
      </c>
      <c r="M12" s="9" t="e">
        <f>IF(OR(OIT!#REF!="",OIT!#REF!=""),"",OIT!#REF!-OIT!#REF!)</f>
        <v>#REF!</v>
      </c>
      <c r="N12" s="9" t="e">
        <f>IF(OR(OIT!#REF!="",OIT!#REF!=""),"",OIT!#REF!-OIT!#REF!)</f>
        <v>#REF!</v>
      </c>
      <c r="O12" s="9">
        <f t="shared" si="0"/>
        <v>25322.051981067612</v>
      </c>
      <c r="P12" s="9">
        <f t="shared" si="1"/>
        <v>60187.694610985585</v>
      </c>
      <c r="Q12" s="9">
        <f t="shared" si="2"/>
        <v>32.321788163610464</v>
      </c>
      <c r="R12" s="9">
        <f t="shared" si="3"/>
        <v>218355.61628749492</v>
      </c>
    </row>
    <row r="13" spans="1:18" ht="15.5">
      <c r="A13" s="7" t="s">
        <v>0</v>
      </c>
      <c r="B13" s="7" t="s">
        <v>1</v>
      </c>
      <c r="C13" s="8">
        <v>2001</v>
      </c>
      <c r="D13" s="9">
        <v>37.624825000000001</v>
      </c>
      <c r="E13" s="9">
        <v>13.505482673645</v>
      </c>
      <c r="F13" s="9">
        <v>1811.15</v>
      </c>
      <c r="G13" s="9">
        <v>2.6830029487609899</v>
      </c>
      <c r="H13" s="9">
        <v>782369.6875</v>
      </c>
      <c r="I13" s="9">
        <v>2996496.25</v>
      </c>
      <c r="J13" s="9">
        <v>1.0689996480941799</v>
      </c>
      <c r="K13" s="9">
        <v>0.411081463098526</v>
      </c>
      <c r="L13" s="9" t="e">
        <f>IF(OR(OIT!#REF!="",OIT!#REF!=""),"",OIT!#REF!-OIT!#REF!)</f>
        <v>#REF!</v>
      </c>
      <c r="M13" s="9" t="e">
        <f>IF(OR(OIT!#REF!="",OIT!#REF!=""),"",OIT!#REF!-OIT!#REF!)</f>
        <v>#REF!</v>
      </c>
      <c r="N13" s="9" t="e">
        <f>IF(OR(OIT!#REF!="",OIT!#REF!=""),"",OIT!#REF!-OIT!#REF!)</f>
        <v>#REF!</v>
      </c>
      <c r="O13" s="9">
        <f t="shared" si="0"/>
        <v>24460.454944372144</v>
      </c>
      <c r="P13" s="9">
        <f t="shared" si="1"/>
        <v>57929.783511309775</v>
      </c>
      <c r="Q13" s="9">
        <f t="shared" si="2"/>
        <v>31.985083240653601</v>
      </c>
      <c r="R13" s="9">
        <f t="shared" si="3"/>
        <v>221872.57741239059</v>
      </c>
    </row>
    <row r="14" spans="1:18" ht="15.5">
      <c r="A14" s="7" t="s">
        <v>0</v>
      </c>
      <c r="B14" s="7" t="s">
        <v>1</v>
      </c>
      <c r="C14" s="8">
        <v>2002</v>
      </c>
      <c r="D14" s="9">
        <v>38.029349000000003</v>
      </c>
      <c r="E14" s="9">
        <v>13.412666320800801</v>
      </c>
      <c r="F14" s="9">
        <v>1710.04</v>
      </c>
      <c r="G14" s="9">
        <v>2.7090599536895801</v>
      </c>
      <c r="H14" s="9">
        <v>697134.5</v>
      </c>
      <c r="I14" s="9">
        <v>2974311.25</v>
      </c>
      <c r="J14" s="9">
        <v>0.97789835929870605</v>
      </c>
      <c r="K14" s="9">
        <v>0.31675088405609098</v>
      </c>
      <c r="L14" s="9" t="e">
        <f>IF(OR(OIT!#REF!="",OIT!#REF!=""),"",OIT!#REF!-OIT!#REF!)</f>
        <v>#REF!</v>
      </c>
      <c r="M14" s="9" t="e">
        <f>IF(OR(OIT!#REF!="",OIT!#REF!=""),"",OIT!#REF!-OIT!#REF!)</f>
        <v>#REF!</v>
      </c>
      <c r="N14" s="9" t="e">
        <f>IF(OR(OIT!#REF!="",OIT!#REF!=""),"",OIT!#REF!-OIT!#REF!)</f>
        <v>#REF!</v>
      </c>
      <c r="O14" s="9">
        <f t="shared" si="0"/>
        <v>22936.195915222201</v>
      </c>
      <c r="P14" s="9">
        <f t="shared" si="1"/>
        <v>51975.832644018068</v>
      </c>
      <c r="Q14" s="9">
        <f t="shared" si="2"/>
        <v>30.394512785676401</v>
      </c>
      <c r="R14" s="9">
        <f t="shared" si="3"/>
        <v>221753.91371567495</v>
      </c>
    </row>
    <row r="15" spans="1:18" ht="15.5">
      <c r="A15" s="7" t="s">
        <v>0</v>
      </c>
      <c r="B15" s="7" t="s">
        <v>1</v>
      </c>
      <c r="C15" s="8">
        <v>2003</v>
      </c>
      <c r="D15" s="9">
        <v>38.424281999999998</v>
      </c>
      <c r="E15" s="9">
        <v>14.069104194641101</v>
      </c>
      <c r="F15" s="9">
        <v>1713.57</v>
      </c>
      <c r="G15" s="9">
        <v>2.7353703975677499</v>
      </c>
      <c r="H15" s="9">
        <v>758740.625</v>
      </c>
      <c r="I15" s="9">
        <v>2987798.25</v>
      </c>
      <c r="J15" s="9">
        <v>1.0420002937316899</v>
      </c>
      <c r="K15" s="9">
        <v>0.30768144130706798</v>
      </c>
      <c r="L15" s="9" t="e">
        <f>IF(OR(OIT!#REF!="",OIT!#REF!=""),"",OIT!#REF!-OIT!#REF!)</f>
        <v>#REF!</v>
      </c>
      <c r="M15" s="9" t="e">
        <f>IF(OR(OIT!#REF!="",OIT!#REF!=""),"",OIT!#REF!-OIT!#REF!)</f>
        <v>#REF!</v>
      </c>
      <c r="N15" s="9" t="e">
        <f>IF(OR(OIT!#REF!="",OIT!#REF!=""),"",OIT!#REF!-OIT!#REF!)</f>
        <v>#REF!</v>
      </c>
      <c r="O15" s="9">
        <f t="shared" si="0"/>
        <v>24108.394874811151</v>
      </c>
      <c r="P15" s="9">
        <f t="shared" si="1"/>
        <v>53929.561861444105</v>
      </c>
      <c r="Q15" s="9">
        <f t="shared" si="2"/>
        <v>31.472050666995866</v>
      </c>
      <c r="R15" s="9">
        <f t="shared" si="3"/>
        <v>212365.91958271569</v>
      </c>
    </row>
    <row r="16" spans="1:18" ht="15.5">
      <c r="A16" s="7" t="s">
        <v>0</v>
      </c>
      <c r="B16" s="7" t="s">
        <v>1</v>
      </c>
      <c r="C16" s="8">
        <v>2004</v>
      </c>
      <c r="D16" s="9">
        <v>38.815916000000001</v>
      </c>
      <c r="E16" s="9">
        <v>14.996857643127401</v>
      </c>
      <c r="F16" s="9">
        <v>1743.4</v>
      </c>
      <c r="G16" s="9">
        <v>2.7619361877441402</v>
      </c>
      <c r="H16" s="9">
        <v>827251.625</v>
      </c>
      <c r="I16" s="9">
        <v>3045520.75</v>
      </c>
      <c r="J16" s="9">
        <v>1.0872892141342201</v>
      </c>
      <c r="K16" s="9">
        <v>0.32543998956680298</v>
      </c>
      <c r="L16" s="9" t="e">
        <f>IF(OR(OIT!#REF!="",OIT!#REF!=""),"",OIT!#REF!-OIT!#REF!)</f>
        <v>#REF!</v>
      </c>
      <c r="M16" s="9" t="e">
        <f>IF(OR(OIT!#REF!="",OIT!#REF!=""),"",OIT!#REF!-OIT!#REF!)</f>
        <v>#REF!</v>
      </c>
      <c r="N16" s="9" t="e">
        <f>IF(OR(OIT!#REF!="",OIT!#REF!=""),"",OIT!#REF!-OIT!#REF!)</f>
        <v>#REF!</v>
      </c>
      <c r="O16" s="9">
        <f t="shared" si="0"/>
        <v>26145.521615028312</v>
      </c>
      <c r="P16" s="9">
        <f t="shared" si="1"/>
        <v>55161.664175635087</v>
      </c>
      <c r="Q16" s="9">
        <f t="shared" si="2"/>
        <v>31.64028001355689</v>
      </c>
      <c r="R16" s="9">
        <f t="shared" si="3"/>
        <v>203077.25941478604</v>
      </c>
    </row>
    <row r="17" spans="1:18" ht="15.5">
      <c r="A17" s="7" t="s">
        <v>0</v>
      </c>
      <c r="B17" s="7" t="s">
        <v>1</v>
      </c>
      <c r="C17" s="8">
        <v>2005</v>
      </c>
      <c r="D17" s="9">
        <v>39.216788999999999</v>
      </c>
      <c r="E17" s="9">
        <v>15.7495889663696</v>
      </c>
      <c r="F17" s="9">
        <v>1771.68</v>
      </c>
      <c r="G17" s="9">
        <v>2.7887601852417001</v>
      </c>
      <c r="H17" s="9">
        <v>900477.125</v>
      </c>
      <c r="I17" s="9">
        <v>3125045.5</v>
      </c>
      <c r="J17" s="9">
        <v>1.1313850879669201</v>
      </c>
      <c r="K17" s="9">
        <v>0.33866074681281999</v>
      </c>
      <c r="L17" s="9" t="e">
        <f>IF(OR(OIT!#REF!="",OIT!#REF!=""),"",OIT!#REF!-OIT!#REF!)</f>
        <v>#REF!</v>
      </c>
      <c r="M17" s="9" t="e">
        <f>IF(OR(OIT!#REF!="",OIT!#REF!=""),"",OIT!#REF!-OIT!#REF!)</f>
        <v>#REF!</v>
      </c>
      <c r="N17" s="9" t="e">
        <f>IF(OR(OIT!#REF!="",OIT!#REF!=""),"",OIT!#REF!-OIT!#REF!)</f>
        <v>#REF!</v>
      </c>
      <c r="O17" s="9">
        <f t="shared" si="0"/>
        <v>27903.231779937694</v>
      </c>
      <c r="P17" s="9">
        <f t="shared" si="1"/>
        <v>57174.642901653249</v>
      </c>
      <c r="Q17" s="9">
        <f t="shared" si="2"/>
        <v>32.271427628947244</v>
      </c>
      <c r="R17" s="9">
        <f t="shared" si="3"/>
        <v>198420.76556238829</v>
      </c>
    </row>
    <row r="18" spans="1:18" ht="15.5">
      <c r="A18" s="7" t="s">
        <v>0</v>
      </c>
      <c r="B18" s="7" t="s">
        <v>1</v>
      </c>
      <c r="C18" s="8">
        <v>2006</v>
      </c>
      <c r="D18" s="9">
        <v>39.622115000000001</v>
      </c>
      <c r="E18" s="9">
        <v>16.298122406005898</v>
      </c>
      <c r="F18" s="9">
        <v>1775.92</v>
      </c>
      <c r="G18" s="9">
        <v>2.7969753742218</v>
      </c>
      <c r="H18" s="9">
        <v>972939.75</v>
      </c>
      <c r="I18" s="9">
        <v>3225173</v>
      </c>
      <c r="J18" s="9">
        <v>1.1760560274124101</v>
      </c>
      <c r="K18" s="9">
        <v>0.355213403701782</v>
      </c>
      <c r="L18" s="9" t="e">
        <f>IF(OR(OIT!#REF!="",OIT!#REF!=""),"",OIT!#REF!-OIT!#REF!)</f>
        <v>#REF!</v>
      </c>
      <c r="M18" s="9" t="e">
        <f>IF(OR(OIT!#REF!="",OIT!#REF!=""),"",OIT!#REF!-OIT!#REF!)</f>
        <v>#REF!</v>
      </c>
      <c r="N18" s="9" t="e">
        <f>IF(OR(OIT!#REF!="",OIT!#REF!=""),"",OIT!#REF!-OIT!#REF!)</f>
        <v>#REF!</v>
      </c>
      <c r="O18" s="9">
        <f t="shared" si="0"/>
        <v>28944.161543273996</v>
      </c>
      <c r="P18" s="9">
        <f t="shared" si="1"/>
        <v>59696.431635675362</v>
      </c>
      <c r="Q18" s="9">
        <f t="shared" si="2"/>
        <v>33.614369811520433</v>
      </c>
      <c r="R18" s="9">
        <f t="shared" si="3"/>
        <v>197886.16870440953</v>
      </c>
    </row>
    <row r="19" spans="1:18" ht="15.5">
      <c r="A19" s="7" t="s">
        <v>0</v>
      </c>
      <c r="B19" s="7" t="s">
        <v>1</v>
      </c>
      <c r="C19" s="8">
        <v>2007</v>
      </c>
      <c r="D19" s="9">
        <v>40.016762999999997</v>
      </c>
      <c r="E19" s="9">
        <v>16.961412429809599</v>
      </c>
      <c r="F19" s="9">
        <v>1787.54</v>
      </c>
      <c r="G19" s="9">
        <v>2.80521464347839</v>
      </c>
      <c r="H19" s="9">
        <v>1060578.875</v>
      </c>
      <c r="I19" s="9">
        <v>3358898.25</v>
      </c>
      <c r="J19" s="9">
        <v>1.2184323072433501</v>
      </c>
      <c r="K19" s="9">
        <v>0.36640986800193798</v>
      </c>
      <c r="L19" s="9" t="e">
        <f>IF(OR(OIT!#REF!="",OIT!#REF!=""),"",OIT!#REF!-OIT!#REF!)</f>
        <v>#REF!</v>
      </c>
      <c r="M19" s="9" t="e">
        <f>IF(OR(OIT!#REF!="",OIT!#REF!=""),"",OIT!#REF!-OIT!#REF!)</f>
        <v>#REF!</v>
      </c>
      <c r="N19" s="9" t="e">
        <f>IF(OR(OIT!#REF!="",OIT!#REF!=""),"",OIT!#REF!-OIT!#REF!)</f>
        <v>#REF!</v>
      </c>
      <c r="O19" s="9">
        <f t="shared" si="0"/>
        <v>30319.203174781851</v>
      </c>
      <c r="P19" s="9">
        <f t="shared" si="1"/>
        <v>62528.924368116765</v>
      </c>
      <c r="Q19" s="9">
        <f t="shared" si="2"/>
        <v>34.980433650780832</v>
      </c>
      <c r="R19" s="9">
        <f t="shared" si="3"/>
        <v>198031.75377639855</v>
      </c>
    </row>
    <row r="20" spans="1:18" ht="15.5">
      <c r="A20" s="7" t="s">
        <v>0</v>
      </c>
      <c r="B20" s="7" t="s">
        <v>1</v>
      </c>
      <c r="C20" s="8">
        <v>2008</v>
      </c>
      <c r="D20" s="9">
        <v>40.424148000000002</v>
      </c>
      <c r="E20" s="9">
        <v>17.3702507019043</v>
      </c>
      <c r="F20" s="9">
        <v>1789.76</v>
      </c>
      <c r="G20" s="9">
        <v>2.8134782314300502</v>
      </c>
      <c r="H20" s="9">
        <v>1103609</v>
      </c>
      <c r="I20" s="9">
        <v>3500743</v>
      </c>
      <c r="J20" s="9">
        <v>1.21485507488251</v>
      </c>
      <c r="K20" s="9">
        <v>0.40170603990554798</v>
      </c>
      <c r="L20" s="9" t="e">
        <f>IF(OR(OIT!#REF!="",OIT!#REF!=""),"",OIT!#REF!-OIT!#REF!)</f>
        <v>#REF!</v>
      </c>
      <c r="M20" s="9" t="e">
        <f>IF(OR(OIT!#REF!="",OIT!#REF!=""),"",OIT!#REF!-OIT!#REF!)</f>
        <v>#REF!</v>
      </c>
      <c r="N20" s="9" t="e">
        <f>IF(OR(OIT!#REF!="",OIT!#REF!=""),"",OIT!#REF!-OIT!#REF!)</f>
        <v>#REF!</v>
      </c>
      <c r="O20" s="9">
        <f t="shared" si="0"/>
        <v>31088.57989624024</v>
      </c>
      <c r="P20" s="9">
        <f t="shared" si="1"/>
        <v>63534.431306682949</v>
      </c>
      <c r="Q20" s="9">
        <f t="shared" si="2"/>
        <v>35.498855325117866</v>
      </c>
      <c r="R20" s="9">
        <f t="shared" si="3"/>
        <v>201536.6997331946</v>
      </c>
    </row>
    <row r="21" spans="1:18" ht="15.5">
      <c r="A21" s="7" t="s">
        <v>0</v>
      </c>
      <c r="B21" s="7" t="s">
        <v>1</v>
      </c>
      <c r="C21" s="8">
        <v>2009</v>
      </c>
      <c r="D21" s="9">
        <v>40.854830999999997</v>
      </c>
      <c r="E21" s="9">
        <v>17.562053680419901</v>
      </c>
      <c r="F21" s="9">
        <v>1751.62</v>
      </c>
      <c r="G21" s="9">
        <v>2.82176613807678</v>
      </c>
      <c r="H21" s="9">
        <v>1038291.6875</v>
      </c>
      <c r="I21" s="9">
        <v>3574509.25</v>
      </c>
      <c r="J21" s="9">
        <v>1.13139200210571</v>
      </c>
      <c r="K21" s="9">
        <v>0.44357183575630199</v>
      </c>
      <c r="L21" s="9" t="e">
        <f>IF(OR(OIT!#REF!="",OIT!#REF!=""),"",OIT!#REF!-OIT!#REF!)</f>
        <v>#REF!</v>
      </c>
      <c r="M21" s="9" t="e">
        <f>IF(OR(OIT!#REF!="",OIT!#REF!=""),"",OIT!#REF!-OIT!#REF!)</f>
        <v>#REF!</v>
      </c>
      <c r="N21" s="9" t="e">
        <f>IF(OR(OIT!#REF!="",OIT!#REF!=""),"",OIT!#REF!-OIT!#REF!)</f>
        <v>#REF!</v>
      </c>
      <c r="O21" s="9">
        <f t="shared" si="0"/>
        <v>30762.044467697106</v>
      </c>
      <c r="P21" s="9">
        <f t="shared" si="1"/>
        <v>59121.313850532257</v>
      </c>
      <c r="Q21" s="9">
        <f t="shared" si="2"/>
        <v>33.752362870104392</v>
      </c>
      <c r="R21" s="9">
        <f t="shared" si="3"/>
        <v>203535.94830342958</v>
      </c>
    </row>
    <row r="22" spans="1:18" ht="15.5">
      <c r="A22" s="7" t="s">
        <v>0</v>
      </c>
      <c r="B22" s="7" t="s">
        <v>1</v>
      </c>
      <c r="C22" s="8">
        <v>2010</v>
      </c>
      <c r="D22" s="9">
        <v>41.288694</v>
      </c>
      <c r="E22" s="9">
        <v>18.076745986938501</v>
      </c>
      <c r="F22" s="9">
        <v>1760.22</v>
      </c>
      <c r="G22" s="9">
        <v>2.83007836341858</v>
      </c>
      <c r="H22" s="9">
        <v>1143422.75</v>
      </c>
      <c r="I22" s="9">
        <v>3694759.75</v>
      </c>
      <c r="J22" s="9">
        <v>1.19824695587158</v>
      </c>
      <c r="K22" s="9">
        <v>0.44017282128334001</v>
      </c>
      <c r="L22" s="9" t="e">
        <f>IF(OR(OIT!#REF!="",OIT!#REF!=""),"",OIT!#REF!-OIT!#REF!)</f>
        <v>#REF!</v>
      </c>
      <c r="M22" s="9" t="e">
        <f>IF(OR(OIT!#REF!="",OIT!#REF!=""),"",OIT!#REF!-OIT!#REF!)</f>
        <v>#REF!</v>
      </c>
      <c r="N22" s="9" t="e">
        <f>IF(OR(OIT!#REF!="",OIT!#REF!=""),"",OIT!#REF!-OIT!#REF!)</f>
        <v>#REF!</v>
      </c>
      <c r="O22" s="9">
        <f t="shared" si="0"/>
        <v>31819.04982112889</v>
      </c>
      <c r="P22" s="9">
        <f t="shared" si="1"/>
        <v>63253.793067966399</v>
      </c>
      <c r="Q22" s="9">
        <f t="shared" si="2"/>
        <v>35.935163256846529</v>
      </c>
      <c r="R22" s="9">
        <f t="shared" si="3"/>
        <v>204392.96722262283</v>
      </c>
    </row>
    <row r="23" spans="1:18" ht="15.5">
      <c r="A23" s="7" t="s">
        <v>0</v>
      </c>
      <c r="B23" s="7" t="s">
        <v>1</v>
      </c>
      <c r="C23" s="8">
        <v>2011</v>
      </c>
      <c r="D23" s="9">
        <v>41.73066</v>
      </c>
      <c r="E23" s="9">
        <v>18.488031387329102</v>
      </c>
      <c r="F23" s="9">
        <v>1760.23</v>
      </c>
      <c r="G23" s="9">
        <v>2.8585422039032</v>
      </c>
      <c r="H23" s="9">
        <v>1212073.375</v>
      </c>
      <c r="I23" s="9">
        <v>3844723</v>
      </c>
      <c r="J23" s="9">
        <v>1.21756708621979</v>
      </c>
      <c r="K23" s="9">
        <v>0.472903043031693</v>
      </c>
      <c r="L23" s="9" t="e">
        <f>IF(OR(OIT!#REF!="",OIT!#REF!=""),"",OIT!#REF!-OIT!#REF!)</f>
        <v>#REF!</v>
      </c>
      <c r="M23" s="9" t="e">
        <f>IF(OR(OIT!#REF!="",OIT!#REF!=""),"",OIT!#REF!-OIT!#REF!)</f>
        <v>#REF!</v>
      </c>
      <c r="N23" s="9" t="e">
        <f>IF(OR(OIT!#REF!="",OIT!#REF!=""),"",OIT!#REF!-OIT!#REF!)</f>
        <v>#REF!</v>
      </c>
      <c r="O23" s="9">
        <f t="shared" si="0"/>
        <v>32543.187488918305</v>
      </c>
      <c r="P23" s="9">
        <f t="shared" si="1"/>
        <v>65559.893836544579</v>
      </c>
      <c r="Q23" s="9">
        <f t="shared" si="2"/>
        <v>37.245072426071921</v>
      </c>
      <c r="R23" s="9">
        <f t="shared" si="3"/>
        <v>207957.4033304058</v>
      </c>
    </row>
    <row r="24" spans="1:18" ht="15.5">
      <c r="A24" s="7" t="s">
        <v>0</v>
      </c>
      <c r="B24" s="7" t="s">
        <v>1</v>
      </c>
      <c r="C24" s="8">
        <v>2012</v>
      </c>
      <c r="D24" s="9">
        <v>42.161721</v>
      </c>
      <c r="E24" s="9">
        <v>18.791288375854499</v>
      </c>
      <c r="F24" s="9">
        <v>1736.1</v>
      </c>
      <c r="G24" s="9">
        <v>2.8872923851013201</v>
      </c>
      <c r="H24" s="9">
        <v>1199632.5</v>
      </c>
      <c r="I24" s="9">
        <v>3963128.25</v>
      </c>
      <c r="J24" s="9">
        <v>1.1764956712722801</v>
      </c>
      <c r="K24" s="9">
        <v>0.51954871416091897</v>
      </c>
      <c r="L24" s="9" t="e">
        <f>IF(OR(OIT!#REF!="",OIT!#REF!=""),"",OIT!#REF!-OIT!#REF!)</f>
        <v>#REF!</v>
      </c>
      <c r="M24" s="9" t="e">
        <f>IF(OR(OIT!#REF!="",OIT!#REF!=""),"",OIT!#REF!-OIT!#REF!)</f>
        <v>#REF!</v>
      </c>
      <c r="N24" s="9" t="e">
        <f>IF(OR(OIT!#REF!="",OIT!#REF!=""),"",OIT!#REF!-OIT!#REF!)</f>
        <v>#REF!</v>
      </c>
      <c r="O24" s="9">
        <f t="shared" si="0"/>
        <v>32623.555749320996</v>
      </c>
      <c r="P24" s="9">
        <f t="shared" si="1"/>
        <v>63839.821730448479</v>
      </c>
      <c r="Q24" s="9">
        <f t="shared" si="2"/>
        <v>36.771972657363335</v>
      </c>
      <c r="R24" s="9">
        <f t="shared" si="3"/>
        <v>210902.42301280121</v>
      </c>
    </row>
    <row r="25" spans="1:18" ht="15.5">
      <c r="A25" s="7" t="s">
        <v>0</v>
      </c>
      <c r="B25" s="7" t="s">
        <v>1</v>
      </c>
      <c r="C25" s="8">
        <v>2013</v>
      </c>
      <c r="D25" s="9">
        <v>42.582455000000003</v>
      </c>
      <c r="E25" s="9">
        <v>19.124418258666999</v>
      </c>
      <c r="F25" s="9">
        <v>1725.87</v>
      </c>
      <c r="G25" s="9">
        <v>2.91633176803589</v>
      </c>
      <c r="H25" s="9">
        <v>1228487.5</v>
      </c>
      <c r="I25" s="9">
        <v>4081183.25</v>
      </c>
      <c r="J25" s="9">
        <v>1.1721092462539699</v>
      </c>
      <c r="K25" s="9">
        <v>0.54427921772003196</v>
      </c>
      <c r="L25" s="9" t="e">
        <f>IF(OR(OIT!#REF!="",OIT!#REF!=""),"",OIT!#REF!-OIT!#REF!)</f>
        <v>#REF!</v>
      </c>
      <c r="M25" s="9" t="e">
        <f>IF(OR(OIT!#REF!="",OIT!#REF!=""),"",OIT!#REF!-OIT!#REF!)</f>
        <v>#REF!</v>
      </c>
      <c r="N25" s="9" t="e">
        <f>IF(OR(OIT!#REF!="",OIT!#REF!=""),"",OIT!#REF!-OIT!#REF!)</f>
        <v>#REF!</v>
      </c>
      <c r="O25" s="9">
        <f t="shared" si="0"/>
        <v>33006.25974008561</v>
      </c>
      <c r="P25" s="9">
        <f t="shared" si="1"/>
        <v>64236.594461808607</v>
      </c>
      <c r="Q25" s="9">
        <f t="shared" si="2"/>
        <v>37.219833742870911</v>
      </c>
      <c r="R25" s="9">
        <f t="shared" si="3"/>
        <v>213401.6938345535</v>
      </c>
    </row>
    <row r="26" spans="1:18" ht="15.5">
      <c r="A26" s="7" t="s">
        <v>0</v>
      </c>
      <c r="B26" s="7" t="s">
        <v>1</v>
      </c>
      <c r="C26" s="8">
        <v>2014</v>
      </c>
      <c r="D26" s="9">
        <v>43.024070999999999</v>
      </c>
      <c r="E26" s="9">
        <v>19.383050918579102</v>
      </c>
      <c r="F26" s="9">
        <v>1705.43</v>
      </c>
      <c r="G26" s="9">
        <v>2.9456627368927002</v>
      </c>
      <c r="H26" s="9">
        <v>1197620.25</v>
      </c>
      <c r="I26" s="9">
        <v>4177142.5</v>
      </c>
      <c r="J26" s="9">
        <v>1.1229379177093499</v>
      </c>
      <c r="K26" s="9">
        <v>0.55784606933593806</v>
      </c>
      <c r="L26" s="9" t="e">
        <f>IF(OR(OIT!#REF!="",OIT!#REF!=""),"",OIT!#REF!-OIT!#REF!)</f>
        <v>#REF!</v>
      </c>
      <c r="M26" s="9" t="e">
        <f>IF(OR(OIT!#REF!="",OIT!#REF!=""),"",OIT!#REF!-OIT!#REF!)</f>
        <v>#REF!</v>
      </c>
      <c r="N26" s="9" t="e">
        <f>IF(OR(OIT!#REF!="",OIT!#REF!=""),"",OIT!#REF!-OIT!#REF!)</f>
        <v>#REF!</v>
      </c>
      <c r="O26" s="9">
        <f t="shared" si="0"/>
        <v>33056.436528072358</v>
      </c>
      <c r="P26" s="9">
        <f t="shared" si="1"/>
        <v>61786.983640024046</v>
      </c>
      <c r="Q26" s="9">
        <f t="shared" si="2"/>
        <v>36.229563007584041</v>
      </c>
      <c r="R26" s="9">
        <f t="shared" si="3"/>
        <v>215504.90258456228</v>
      </c>
    </row>
    <row r="27" spans="1:18" ht="15.5">
      <c r="A27" s="7" t="s">
        <v>0</v>
      </c>
      <c r="B27" s="7" t="s">
        <v>1</v>
      </c>
      <c r="C27" s="8">
        <v>2015</v>
      </c>
      <c r="D27" s="9">
        <v>43.477012000000002</v>
      </c>
      <c r="E27" s="9">
        <v>19.854450225830099</v>
      </c>
      <c r="F27" s="9">
        <v>1703.47</v>
      </c>
      <c r="G27" s="9">
        <v>2.9752891063690199</v>
      </c>
      <c r="H27" s="9">
        <v>1230329.125</v>
      </c>
      <c r="I27" s="9">
        <v>4277609</v>
      </c>
      <c r="J27" s="9">
        <v>1.1200236082077</v>
      </c>
      <c r="K27" s="9">
        <v>0.57141292095184304</v>
      </c>
      <c r="L27" s="9" t="e">
        <f>IF(OR(OIT!#REF!="",OIT!#REF!=""),"",OIT!#REF!-OIT!#REF!)</f>
        <v>#REF!</v>
      </c>
      <c r="M27" s="9" t="e">
        <f>IF(OR(OIT!#REF!="",OIT!#REF!=""),"",OIT!#REF!-OIT!#REF!)</f>
        <v>#REF!</v>
      </c>
      <c r="N27" s="9" t="e">
        <f>IF(OR(OIT!#REF!="",OIT!#REF!=""),"",OIT!#REF!-OIT!#REF!)</f>
        <v>#REF!</v>
      </c>
      <c r="O27" s="9">
        <f t="shared" si="0"/>
        <v>33821.4603261948</v>
      </c>
      <c r="P27" s="9">
        <f t="shared" si="1"/>
        <v>61967.423474631156</v>
      </c>
      <c r="Q27" s="9">
        <f t="shared" si="2"/>
        <v>36.377173343018164</v>
      </c>
      <c r="R27" s="9">
        <f t="shared" si="3"/>
        <v>215448.37310251719</v>
      </c>
    </row>
    <row r="28" spans="1:18" ht="15.5">
      <c r="A28" s="7" t="s">
        <v>0</v>
      </c>
      <c r="B28" s="7" t="s">
        <v>1</v>
      </c>
      <c r="C28" s="8">
        <v>2016</v>
      </c>
      <c r="D28" s="9">
        <v>43.900312999999997</v>
      </c>
      <c r="E28" s="9">
        <v>19.7231750488281</v>
      </c>
      <c r="F28" s="9">
        <v>1646.51</v>
      </c>
      <c r="G28" s="9">
        <v>3.0052134990692099</v>
      </c>
      <c r="H28" s="9">
        <v>1204734.25</v>
      </c>
      <c r="I28" s="9">
        <v>4359475</v>
      </c>
      <c r="J28" s="9">
        <v>1.1064202785491899</v>
      </c>
      <c r="K28" s="9">
        <v>0.58497977256774902</v>
      </c>
      <c r="L28" s="9" t="e">
        <f>IF(OR(OIT!#REF!="",OIT!#REF!=""),"",OIT!#REF!-OIT!#REF!)</f>
        <v>#REF!</v>
      </c>
      <c r="M28" s="9" t="e">
        <f>IF(OR(OIT!#REF!="",OIT!#REF!=""),"",OIT!#REF!-OIT!#REF!)</f>
        <v>#REF!</v>
      </c>
      <c r="N28" s="9" t="e">
        <f>IF(OR(OIT!#REF!="",OIT!#REF!=""),"",OIT!#REF!-OIT!#REF!)</f>
        <v>#REF!</v>
      </c>
      <c r="O28" s="9">
        <f t="shared" si="0"/>
        <v>32474.404949645956</v>
      </c>
      <c r="P28" s="9">
        <f t="shared" si="1"/>
        <v>61082.165879351262</v>
      </c>
      <c r="Q28" s="9">
        <f t="shared" si="2"/>
        <v>37.097962283467005</v>
      </c>
      <c r="R28" s="9">
        <f t="shared" si="3"/>
        <v>221033.12419057137</v>
      </c>
    </row>
    <row r="29" spans="1:18" ht="15.5">
      <c r="A29" s="7" t="s">
        <v>0</v>
      </c>
      <c r="B29" s="7" t="s">
        <v>1</v>
      </c>
      <c r="C29" s="8">
        <v>2017</v>
      </c>
      <c r="D29" s="9">
        <v>44.288893999999999</v>
      </c>
      <c r="E29" s="9">
        <v>20.0336608886719</v>
      </c>
      <c r="F29" s="9">
        <v>1648.81</v>
      </c>
      <c r="G29" s="9">
        <v>3.0354387760162398</v>
      </c>
      <c r="H29" s="9">
        <v>1238689.875</v>
      </c>
      <c r="I29" s="9">
        <v>4468098.5</v>
      </c>
      <c r="J29" s="9">
        <v>1.10694360733032</v>
      </c>
      <c r="K29" s="9">
        <v>0.58480149507522605</v>
      </c>
      <c r="L29" s="9" t="e">
        <f>IF(OR(OIT!#REF!="",OIT!#REF!=""),"",OIT!#REF!-OIT!#REF!)</f>
        <v>#REF!</v>
      </c>
      <c r="M29" s="9" t="e">
        <f>IF(OR(OIT!#REF!="",OIT!#REF!=""),"",OIT!#REF!-OIT!#REF!)</f>
        <v>#REF!</v>
      </c>
      <c r="N29" s="9" t="e">
        <f>IF(OR(OIT!#REF!="",OIT!#REF!=""),"",OIT!#REF!-OIT!#REF!)</f>
        <v>#REF!</v>
      </c>
      <c r="O29" s="9">
        <f t="shared" si="0"/>
        <v>33031.700409851117</v>
      </c>
      <c r="P29" s="9">
        <f t="shared" si="1"/>
        <v>61830.430388308174</v>
      </c>
      <c r="Q29" s="9">
        <f t="shared" si="2"/>
        <v>37.500033592899229</v>
      </c>
      <c r="R29" s="9">
        <f t="shared" si="3"/>
        <v>223029.55634666359</v>
      </c>
    </row>
    <row r="30" spans="1:18" ht="15.5">
      <c r="A30" s="7" t="s">
        <v>0</v>
      </c>
      <c r="B30" s="7" t="s">
        <v>1</v>
      </c>
      <c r="C30" s="8">
        <v>2018</v>
      </c>
      <c r="D30" s="9">
        <v>44.654882000000001</v>
      </c>
      <c r="E30" s="9">
        <v>20.1350708007813</v>
      </c>
      <c r="F30" s="9">
        <v>1638.44</v>
      </c>
      <c r="G30" s="9">
        <v>3.06596803665161</v>
      </c>
      <c r="H30" s="9">
        <v>1206268.25</v>
      </c>
      <c r="I30" s="9">
        <v>4558053</v>
      </c>
      <c r="J30" s="9">
        <v>1.06310987472534</v>
      </c>
      <c r="K30" s="9">
        <v>0.540641009807587</v>
      </c>
      <c r="L30" s="9" t="e">
        <f>IF(OR(OIT!#REF!="",OIT!#REF!=""),"",OIT!#REF!-OIT!#REF!)</f>
        <v>#REF!</v>
      </c>
      <c r="M30" s="9" t="e">
        <f>IF(OR(OIT!#REF!="",OIT!#REF!=""),"",OIT!#REF!-OIT!#REF!)</f>
        <v>#REF!</v>
      </c>
      <c r="N30" s="9" t="e">
        <f>IF(OR(OIT!#REF!="",OIT!#REF!=""),"",OIT!#REF!-OIT!#REF!)</f>
        <v>#REF!</v>
      </c>
      <c r="O30" s="9">
        <f t="shared" si="0"/>
        <v>32990.105402832116</v>
      </c>
      <c r="P30" s="9">
        <f t="shared" si="1"/>
        <v>59908.815913038321</v>
      </c>
      <c r="Q30" s="9">
        <f t="shared" si="2"/>
        <v>36.564546710919117</v>
      </c>
      <c r="R30" s="9">
        <f t="shared" si="3"/>
        <v>226373.82530699292</v>
      </c>
    </row>
    <row r="31" spans="1:18" ht="15.5">
      <c r="A31" s="7" t="s">
        <v>0</v>
      </c>
      <c r="B31" s="7" t="s">
        <v>1</v>
      </c>
      <c r="C31" s="8">
        <v>2019</v>
      </c>
      <c r="D31" s="9">
        <v>44.973464999999997</v>
      </c>
      <c r="E31" s="9">
        <v>20.6432781219482</v>
      </c>
      <c r="F31" s="9">
        <v>1612.12</v>
      </c>
      <c r="G31" s="9">
        <v>3.0968043804168701</v>
      </c>
      <c r="H31" s="9">
        <v>1182132.5</v>
      </c>
      <c r="I31" s="9">
        <v>4605820</v>
      </c>
      <c r="J31" s="9">
        <v>1.02767193317413</v>
      </c>
      <c r="K31" s="9">
        <v>0.53303313255310103</v>
      </c>
      <c r="L31" s="9" t="e">
        <f>IF(OR(OIT!#REF!="",OIT!#REF!=""),"",OIT!#REF!-OIT!#REF!)</f>
        <v>#REF!</v>
      </c>
      <c r="M31" s="9" t="e">
        <f>IF(OR(OIT!#REF!="",OIT!#REF!=""),"",OIT!#REF!-OIT!#REF!)</f>
        <v>#REF!</v>
      </c>
      <c r="N31" s="9" t="e">
        <f>IF(OR(OIT!#REF!="",OIT!#REF!=""),"",OIT!#REF!-OIT!#REF!)</f>
        <v>#REF!</v>
      </c>
      <c r="O31" s="9">
        <f t="shared" si="0"/>
        <v>33279.441525955132</v>
      </c>
      <c r="P31" s="9">
        <f t="shared" si="1"/>
        <v>57264.766429859868</v>
      </c>
      <c r="Q31" s="9">
        <f t="shared" si="2"/>
        <v>35.521404380480284</v>
      </c>
      <c r="R31" s="9">
        <f t="shared" si="3"/>
        <v>223114.75787864492</v>
      </c>
    </row>
    <row r="32" spans="1:18" ht="15.5">
      <c r="A32" s="7" t="s">
        <v>0</v>
      </c>
      <c r="B32" s="7" t="s">
        <v>1</v>
      </c>
      <c r="C32" s="8">
        <v>2020</v>
      </c>
      <c r="D32" s="9">
        <v>45.191965000000003</v>
      </c>
      <c r="E32" s="9">
        <v>18.7495632171631</v>
      </c>
      <c r="F32" s="9">
        <v>1528.56</v>
      </c>
      <c r="G32" s="9">
        <v>3.12795066833496</v>
      </c>
      <c r="H32" s="9">
        <v>1065095.75</v>
      </c>
      <c r="I32" s="9">
        <v>4625739</v>
      </c>
      <c r="J32" s="9">
        <v>0.99876350164413497</v>
      </c>
      <c r="K32" s="9">
        <v>0.55504137277603205</v>
      </c>
      <c r="L32" s="9" t="e">
        <f>IF(OR(OIT!#REF!="",OIT!#REF!=""),"",OIT!#REF!-OIT!#REF!)</f>
        <v>#REF!</v>
      </c>
      <c r="M32" s="9" t="e">
        <f>IF(OR(OIT!#REF!="",OIT!#REF!=""),"",OIT!#REF!-OIT!#REF!)</f>
        <v>#REF!</v>
      </c>
      <c r="N32" s="9" t="e">
        <f>IF(OR(OIT!#REF!="",OIT!#REF!=""),"",OIT!#REF!-OIT!#REF!)</f>
        <v>#REF!</v>
      </c>
      <c r="O32" s="9">
        <f t="shared" si="0"/>
        <v>28659.832351226829</v>
      </c>
      <c r="P32" s="9">
        <f t="shared" si="1"/>
        <v>56806.429977260777</v>
      </c>
      <c r="Q32" s="9">
        <f t="shared" si="2"/>
        <v>37.163362888771637</v>
      </c>
      <c r="R32" s="9">
        <f t="shared" si="3"/>
        <v>246711.82717289435</v>
      </c>
    </row>
    <row r="33" spans="1:18" ht="15.5">
      <c r="A33" s="7" t="s">
        <v>0</v>
      </c>
      <c r="B33" s="7" t="s">
        <v>1</v>
      </c>
      <c r="C33" s="8">
        <v>2021</v>
      </c>
      <c r="D33" s="9">
        <v>45.312280999999999</v>
      </c>
      <c r="E33" s="9">
        <v>20.9869899749756</v>
      </c>
      <c r="F33" s="9">
        <v>1612.12</v>
      </c>
      <c r="G33" s="9">
        <v>3.1387469768524201</v>
      </c>
      <c r="H33" s="9">
        <v>1176311</v>
      </c>
      <c r="I33" s="9">
        <v>4714402.5</v>
      </c>
      <c r="J33" s="9">
        <v>1</v>
      </c>
      <c r="K33" s="9">
        <v>0.50031453371047996</v>
      </c>
      <c r="L33" s="9" t="e">
        <f>IF(OR(OIT!#REF!="",OIT!#REF!=""),"",OIT!#REF!-OIT!#REF!)</f>
        <v>#REF!</v>
      </c>
      <c r="M33" s="9" t="e">
        <f>IF(OR(OIT!#REF!="",OIT!#REF!=""),"",OIT!#REF!-OIT!#REF!)</f>
        <v>#REF!</v>
      </c>
      <c r="N33" s="9" t="e">
        <f>IF(OR(OIT!#REF!="",OIT!#REF!=""),"",OIT!#REF!-OIT!#REF!)</f>
        <v>#REF!</v>
      </c>
      <c r="O33" s="9">
        <f t="shared" si="0"/>
        <v>33833.546278457659</v>
      </c>
      <c r="P33" s="9">
        <f t="shared" si="1"/>
        <v>56049.533611185114</v>
      </c>
      <c r="Q33" s="9">
        <f t="shared" si="2"/>
        <v>34.767593982572713</v>
      </c>
      <c r="R33" s="9">
        <f t="shared" si="3"/>
        <v>224634.52384650416</v>
      </c>
    </row>
    <row r="34" spans="1:18" ht="15.5">
      <c r="A34" s="7" t="s">
        <v>0</v>
      </c>
      <c r="B34" s="7" t="s">
        <v>1</v>
      </c>
      <c r="C34" s="8">
        <v>2022</v>
      </c>
      <c r="D34" s="9">
        <v>45.407904000000002</v>
      </c>
      <c r="E34" s="9">
        <v>22.083532333373999</v>
      </c>
      <c r="F34" s="9">
        <v>1528.56</v>
      </c>
      <c r="G34" s="9">
        <v>3.1496310234069802</v>
      </c>
      <c r="H34" s="9">
        <v>1238301.125</v>
      </c>
      <c r="I34" s="9">
        <v>4829826</v>
      </c>
      <c r="J34" s="9">
        <v>1.0393263101577801</v>
      </c>
      <c r="K34" s="9">
        <v>0.51008254289627097</v>
      </c>
      <c r="L34" s="9" t="e">
        <f>IF(OR(OIT!#REF!="",OIT!#REF!=""),"",OIT!#REF!-OIT!#REF!)</f>
        <v>#REF!</v>
      </c>
      <c r="M34" s="9" t="e">
        <f>IF(OR(OIT!#REF!="",OIT!#REF!=""),"",OIT!#REF!-OIT!#REF!)</f>
        <v>#REF!</v>
      </c>
      <c r="N34" s="9" t="e">
        <f>IF(OR(OIT!#REF!="",OIT!#REF!=""),"",OIT!#REF!-OIT!#REF!)</f>
        <v>#REF!</v>
      </c>
      <c r="O34" s="9">
        <f t="shared" si="0"/>
        <v>33756.004183502155</v>
      </c>
      <c r="P34" s="9">
        <f t="shared" si="1"/>
        <v>56073.507911078283</v>
      </c>
      <c r="Q34" s="9">
        <f t="shared" si="2"/>
        <v>36.683877578294798</v>
      </c>
      <c r="R34" s="9">
        <f t="shared" si="3"/>
        <v>218707.13104628053</v>
      </c>
    </row>
    <row r="35" spans="1:18" ht="15.5">
      <c r="A35" s="7" t="s">
        <v>0</v>
      </c>
      <c r="B35" s="7" t="s">
        <v>1</v>
      </c>
      <c r="C35" s="8">
        <v>2023</v>
      </c>
      <c r="D35" s="9">
        <v>45.538401</v>
      </c>
      <c r="E35" s="9">
        <v>22.790325164794901</v>
      </c>
      <c r="F35" s="9">
        <v>1612.12</v>
      </c>
      <c r="G35" s="9">
        <v>3.1606032848358199</v>
      </c>
      <c r="H35" s="9">
        <v>1218352.25</v>
      </c>
      <c r="I35" s="9">
        <v>4936365.5</v>
      </c>
      <c r="J35" s="9">
        <v>0.96659040451049805</v>
      </c>
      <c r="K35" s="9">
        <v>0.52847176790237405</v>
      </c>
      <c r="L35" s="9" t="e">
        <f>IF(OR(OIT!#REF!="",OIT!#REF!=""),"",OIT!#REF!-OIT!#REF!)</f>
        <v>#REF!</v>
      </c>
      <c r="M35" s="9" t="e">
        <f>IF(OR(OIT!#REF!="",OIT!#REF!=""),"",OIT!#REF!-OIT!#REF!)</f>
        <v>#REF!</v>
      </c>
      <c r="N35" s="9" t="e">
        <f>IF(OR(OIT!#REF!="",OIT!#REF!=""),"",OIT!#REF!-OIT!#REF!)</f>
        <v>#REF!</v>
      </c>
      <c r="O35" s="9">
        <f t="shared" si="0"/>
        <v>36740.739004669151</v>
      </c>
      <c r="P35" s="9">
        <f t="shared" si="1"/>
        <v>53459.186790455977</v>
      </c>
      <c r="Q35" s="9">
        <f t="shared" si="2"/>
        <v>33.160798693928484</v>
      </c>
      <c r="R35" s="9">
        <f t="shared" si="3"/>
        <v>216599.16935390615</v>
      </c>
    </row>
    <row r="36" spans="1:18" ht="15.5">
      <c r="A36" s="7" t="s">
        <v>0</v>
      </c>
      <c r="B36" s="7" t="s">
        <v>1</v>
      </c>
      <c r="C36" s="8">
        <v>2024</v>
      </c>
      <c r="D36" s="9"/>
      <c r="E36" s="9"/>
      <c r="F36" s="9"/>
      <c r="G36" s="9"/>
      <c r="H36" s="9"/>
      <c r="I36" s="9"/>
      <c r="J36" s="9"/>
      <c r="K36" s="9"/>
      <c r="L36" s="9" t="e">
        <f>IF(OR(OIT!#REF!="",OIT!#REF!=""),"",OIT!#REF!-OIT!#REF!)</f>
        <v>#REF!</v>
      </c>
      <c r="M36" s="9" t="e">
        <f>IF(OR(OIT!#REF!="",OIT!#REF!=""),"",OIT!#REF!-OIT!#REF!)</f>
        <v>#REF!</v>
      </c>
      <c r="N36" s="9" t="e">
        <f>IF(OR(OIT!#REF!="",OIT!#REF!=""),"",OIT!#REF!-OIT!#REF!)</f>
        <v>#REF!</v>
      </c>
      <c r="O36" s="9">
        <f t="shared" si="0"/>
        <v>0</v>
      </c>
      <c r="P36" s="9" t="str">
        <f t="shared" si="1"/>
        <v/>
      </c>
      <c r="Q36" s="9" t="str">
        <f t="shared" si="2"/>
        <v/>
      </c>
      <c r="R36" s="9" t="str">
        <f t="shared" si="3"/>
        <v/>
      </c>
    </row>
    <row r="37" spans="1:18" ht="15.5">
      <c r="A37" s="7" t="s">
        <v>0</v>
      </c>
      <c r="B37" s="7" t="s">
        <v>1</v>
      </c>
      <c r="C37" s="8">
        <v>2025</v>
      </c>
      <c r="D37" s="9"/>
      <c r="E37" s="9"/>
      <c r="F37" s="9"/>
      <c r="G37" s="9"/>
      <c r="H37" s="9"/>
      <c r="I37" s="9"/>
      <c r="J37" s="9"/>
      <c r="K37" s="9"/>
      <c r="L37" s="9" t="e">
        <f>IF(OR(OIT!#REF!="",OIT!#REF!=""),"",OIT!#REF!-OIT!#REF!)</f>
        <v>#REF!</v>
      </c>
      <c r="M37" s="9" t="e">
        <f>IF(OR(OIT!#REF!="",OIT!#REF!=""),"",OIT!#REF!-OIT!#REF!)</f>
        <v>#REF!</v>
      </c>
      <c r="N37" s="9" t="e">
        <f>IF(OR(OIT!#REF!="",OIT!#REF!=""),"",OIT!#REF!-OIT!#REF!)</f>
        <v>#REF!</v>
      </c>
      <c r="O37" s="9">
        <f t="shared" si="0"/>
        <v>0</v>
      </c>
      <c r="P37" s="9" t="str">
        <f t="shared" si="1"/>
        <v/>
      </c>
      <c r="Q37" s="9" t="str">
        <f t="shared" si="2"/>
        <v/>
      </c>
      <c r="R37" s="9" t="str">
        <f t="shared" si="3"/>
        <v/>
      </c>
    </row>
    <row r="38" spans="1:18" ht="15.5">
      <c r="A38" s="7" t="s">
        <v>2</v>
      </c>
      <c r="B38" s="7" t="s">
        <v>3</v>
      </c>
      <c r="C38" s="8">
        <v>1990</v>
      </c>
      <c r="D38" s="9">
        <v>7.1301420000000002</v>
      </c>
      <c r="E38" s="9">
        <v>2.8903992176055899</v>
      </c>
      <c r="F38" s="9"/>
      <c r="G38" s="9">
        <v>2.1655914783477801</v>
      </c>
      <c r="H38" s="9">
        <v>35858.43359375</v>
      </c>
      <c r="I38" s="9">
        <v>103529.3671875</v>
      </c>
      <c r="J38" s="9">
        <v>1.02531778812408</v>
      </c>
      <c r="K38" s="9">
        <v>0.53807973861694303</v>
      </c>
      <c r="L38" s="9" t="e">
        <f>IF(OR(OIT!#REF!="",OIT!#REF!=""),"",OIT!#REF!-OIT!#REF!)</f>
        <v>#REF!</v>
      </c>
      <c r="M38" s="9" t="e">
        <f>IF(OR(OIT!#REF!="",OIT!#REF!=""),"",OIT!#REF!-OIT!#REF!)</f>
        <v>#REF!</v>
      </c>
      <c r="N38" s="9" t="e">
        <f>IF(OR(OIT!#REF!="",OIT!#REF!=""),"",OIT!#REF!-OIT!#REF!)</f>
        <v>#REF!</v>
      </c>
      <c r="O38" s="9">
        <f t="shared" si="0"/>
        <v>0</v>
      </c>
      <c r="P38" s="9">
        <f t="shared" si="1"/>
        <v>12406.048747638109</v>
      </c>
      <c r="Q38" s="9" t="str">
        <f t="shared" si="2"/>
        <v/>
      </c>
      <c r="R38" s="9">
        <f t="shared" si="3"/>
        <v>35818.362583582435</v>
      </c>
    </row>
    <row r="39" spans="1:18" ht="15.5">
      <c r="A39" s="7" t="s">
        <v>2</v>
      </c>
      <c r="B39" s="7" t="s">
        <v>3</v>
      </c>
      <c r="C39" s="8">
        <v>1991</v>
      </c>
      <c r="D39" s="9">
        <v>7.2802889999999998</v>
      </c>
      <c r="E39" s="9">
        <v>3.0366942882537802</v>
      </c>
      <c r="F39" s="9"/>
      <c r="G39" s="9">
        <v>2.1960866451263401</v>
      </c>
      <c r="H39" s="9">
        <v>37746.92578125</v>
      </c>
      <c r="I39" s="9">
        <v>106215.65625</v>
      </c>
      <c r="J39" s="9">
        <v>1.0302608013153101</v>
      </c>
      <c r="K39" s="9">
        <v>0.54870569705963101</v>
      </c>
      <c r="L39" s="9" t="e">
        <f>IF(OR(OIT!#REF!="",OIT!#REF!=""),"",OIT!#REF!-OIT!#REF!)</f>
        <v>#REF!</v>
      </c>
      <c r="M39" s="9" t="e">
        <f>IF(OR(OIT!#REF!="",OIT!#REF!=""),"",OIT!#REF!-OIT!#REF!)</f>
        <v>#REF!</v>
      </c>
      <c r="N39" s="9" t="e">
        <f>IF(OR(OIT!#REF!="",OIT!#REF!=""),"",OIT!#REF!-OIT!#REF!)</f>
        <v>#REF!</v>
      </c>
      <c r="O39" s="9">
        <f t="shared" si="0"/>
        <v>0</v>
      </c>
      <c r="P39" s="9">
        <f t="shared" si="1"/>
        <v>12430.268640231145</v>
      </c>
      <c r="Q39" s="9" t="str">
        <f t="shared" si="2"/>
        <v/>
      </c>
      <c r="R39" s="9">
        <f t="shared" si="3"/>
        <v>34977.39520927483</v>
      </c>
    </row>
    <row r="40" spans="1:18" ht="15.5">
      <c r="A40" s="7" t="s">
        <v>2</v>
      </c>
      <c r="B40" s="7" t="s">
        <v>3</v>
      </c>
      <c r="C40" s="8">
        <v>1992</v>
      </c>
      <c r="D40" s="9">
        <v>7.4303359999999996</v>
      </c>
      <c r="E40" s="9">
        <v>3.13990259170532</v>
      </c>
      <c r="F40" s="9"/>
      <c r="G40" s="9">
        <v>2.22701120376587</v>
      </c>
      <c r="H40" s="9">
        <v>38368.42578125</v>
      </c>
      <c r="I40" s="9">
        <v>109538.59375</v>
      </c>
      <c r="J40" s="9">
        <v>1.00650191307068</v>
      </c>
      <c r="K40" s="9">
        <v>0.55989074707031306</v>
      </c>
      <c r="L40" s="9" t="e">
        <f>IF(OR(OIT!#REF!="",OIT!#REF!=""),"",OIT!#REF!-OIT!#REF!)</f>
        <v>#REF!</v>
      </c>
      <c r="M40" s="9" t="e">
        <f>IF(OR(OIT!#REF!="",OIT!#REF!=""),"",OIT!#REF!-OIT!#REF!)</f>
        <v>#REF!</v>
      </c>
      <c r="N40" s="9" t="e">
        <f>IF(OR(OIT!#REF!="",OIT!#REF!=""),"",OIT!#REF!-OIT!#REF!)</f>
        <v>#REF!</v>
      </c>
      <c r="O40" s="9">
        <f t="shared" si="0"/>
        <v>0</v>
      </c>
      <c r="P40" s="9">
        <f t="shared" si="1"/>
        <v>12219.622953466092</v>
      </c>
      <c r="Q40" s="9" t="str">
        <f t="shared" si="2"/>
        <v/>
      </c>
      <c r="R40" s="9">
        <f t="shared" si="3"/>
        <v>34885.984692444945</v>
      </c>
    </row>
    <row r="41" spans="1:18" ht="15.5">
      <c r="A41" s="7" t="s">
        <v>2</v>
      </c>
      <c r="B41" s="7" t="s">
        <v>3</v>
      </c>
      <c r="C41" s="8">
        <v>1993</v>
      </c>
      <c r="D41" s="9">
        <v>7.5791950000000003</v>
      </c>
      <c r="E41" s="9">
        <v>3.1880345344543501</v>
      </c>
      <c r="F41" s="9"/>
      <c r="G41" s="9">
        <v>2.2583711147308398</v>
      </c>
      <c r="H41" s="9">
        <v>40006.48828125</v>
      </c>
      <c r="I41" s="9">
        <v>112821.9765625</v>
      </c>
      <c r="J41" s="9">
        <v>1.0104625225067101</v>
      </c>
      <c r="K41" s="9">
        <v>0.56088322401046797</v>
      </c>
      <c r="L41" s="9" t="e">
        <f>IF(OR(OIT!#REF!="",OIT!#REF!=""),"",OIT!#REF!-OIT!#REF!)</f>
        <v>#REF!</v>
      </c>
      <c r="M41" s="9" t="e">
        <f>IF(OR(OIT!#REF!="",OIT!#REF!=""),"",OIT!#REF!-OIT!#REF!)</f>
        <v>#REF!</v>
      </c>
      <c r="N41" s="9" t="e">
        <f>IF(OR(OIT!#REF!="",OIT!#REF!=""),"",OIT!#REF!-OIT!#REF!)</f>
        <v>#REF!</v>
      </c>
      <c r="O41" s="9">
        <f t="shared" si="0"/>
        <v>0</v>
      </c>
      <c r="P41" s="9">
        <f t="shared" si="1"/>
        <v>12548.950724618588</v>
      </c>
      <c r="Q41" s="9" t="str">
        <f t="shared" si="2"/>
        <v/>
      </c>
      <c r="R41" s="9">
        <f t="shared" si="3"/>
        <v>35389.195237124404</v>
      </c>
    </row>
    <row r="42" spans="1:18" ht="15.5">
      <c r="A42" s="7" t="s">
        <v>2</v>
      </c>
      <c r="B42" s="7" t="s">
        <v>3</v>
      </c>
      <c r="C42" s="8">
        <v>1994</v>
      </c>
      <c r="D42" s="9">
        <v>7.727322</v>
      </c>
      <c r="E42" s="9">
        <v>3.3393416404724099</v>
      </c>
      <c r="F42" s="9"/>
      <c r="G42" s="9">
        <v>2.29017281532288</v>
      </c>
      <c r="H42" s="9">
        <v>41873.69921875</v>
      </c>
      <c r="I42" s="9">
        <v>115252.8125</v>
      </c>
      <c r="J42" s="9">
        <v>1.00637471675873</v>
      </c>
      <c r="K42" s="9">
        <v>0.55645143985748302</v>
      </c>
      <c r="L42" s="9" t="e">
        <f>IF(OR(OIT!#REF!="",OIT!#REF!=""),"",OIT!#REF!-OIT!#REF!)</f>
        <v>#REF!</v>
      </c>
      <c r="M42" s="9" t="e">
        <f>IF(OR(OIT!#REF!="",OIT!#REF!=""),"",OIT!#REF!-OIT!#REF!)</f>
        <v>#REF!</v>
      </c>
      <c r="N42" s="9" t="e">
        <f>IF(OR(OIT!#REF!="",OIT!#REF!=""),"",OIT!#REF!-OIT!#REF!)</f>
        <v>#REF!</v>
      </c>
      <c r="O42" s="9">
        <f t="shared" si="0"/>
        <v>0</v>
      </c>
      <c r="P42" s="9">
        <f t="shared" si="1"/>
        <v>12539.507402071689</v>
      </c>
      <c r="Q42" s="9" t="str">
        <f t="shared" si="2"/>
        <v/>
      </c>
      <c r="R42" s="9">
        <f t="shared" si="3"/>
        <v>34513.633197379415</v>
      </c>
    </row>
    <row r="43" spans="1:18" ht="15.5">
      <c r="A43" s="7" t="s">
        <v>2</v>
      </c>
      <c r="B43" s="7" t="s">
        <v>3</v>
      </c>
      <c r="C43" s="8">
        <v>1995</v>
      </c>
      <c r="D43" s="9">
        <v>7.874676</v>
      </c>
      <c r="E43" s="9">
        <v>3.40711569786072</v>
      </c>
      <c r="F43" s="9"/>
      <c r="G43" s="9">
        <v>2.3224225044250502</v>
      </c>
      <c r="H43" s="9">
        <v>43832.66796875</v>
      </c>
      <c r="I43" s="9">
        <v>118558.5546875</v>
      </c>
      <c r="J43" s="9">
        <v>1.01579809188843</v>
      </c>
      <c r="K43" s="9">
        <v>0.53891956806182895</v>
      </c>
      <c r="L43" s="9" t="e">
        <f>IF(OR(OIT!#REF!="",OIT!#REF!=""),"",OIT!#REF!-OIT!#REF!)</f>
        <v>#REF!</v>
      </c>
      <c r="M43" s="9" t="e">
        <f>IF(OR(OIT!#REF!="",OIT!#REF!=""),"",OIT!#REF!-OIT!#REF!)</f>
        <v>#REF!</v>
      </c>
      <c r="N43" s="9" t="e">
        <f>IF(OR(OIT!#REF!="",OIT!#REF!=""),"",OIT!#REF!-OIT!#REF!)</f>
        <v>#REF!</v>
      </c>
      <c r="O43" s="9">
        <f t="shared" si="0"/>
        <v>0</v>
      </c>
      <c r="P43" s="9">
        <f t="shared" si="1"/>
        <v>12865.036545800871</v>
      </c>
      <c r="Q43" s="9" t="str">
        <f t="shared" si="2"/>
        <v/>
      </c>
      <c r="R43" s="9">
        <f t="shared" si="3"/>
        <v>34797.337455238528</v>
      </c>
    </row>
    <row r="44" spans="1:18" ht="15.5">
      <c r="A44" s="7" t="s">
        <v>2</v>
      </c>
      <c r="B44" s="7" t="s">
        <v>3</v>
      </c>
      <c r="C44" s="8">
        <v>1996</v>
      </c>
      <c r="D44" s="9">
        <v>8.0217360000000006</v>
      </c>
      <c r="E44" s="9">
        <v>3.4742469787597701</v>
      </c>
      <c r="F44" s="9"/>
      <c r="G44" s="9">
        <v>2.3551259040832502</v>
      </c>
      <c r="H44" s="9">
        <v>45744.359375</v>
      </c>
      <c r="I44" s="9">
        <v>122645.640625</v>
      </c>
      <c r="J44" s="9">
        <v>1.0207883119583101</v>
      </c>
      <c r="K44" s="9">
        <v>0.55449229478836104</v>
      </c>
      <c r="L44" s="9" t="e">
        <f>IF(OR(OIT!#REF!="",OIT!#REF!=""),"",OIT!#REF!-OIT!#REF!)</f>
        <v>#REF!</v>
      </c>
      <c r="M44" s="9" t="e">
        <f>IF(OR(OIT!#REF!="",OIT!#REF!=""),"",OIT!#REF!-OIT!#REF!)</f>
        <v>#REF!</v>
      </c>
      <c r="N44" s="9" t="e">
        <f>IF(OR(OIT!#REF!="",OIT!#REF!=""),"",OIT!#REF!-OIT!#REF!)</f>
        <v>#REF!</v>
      </c>
      <c r="O44" s="9">
        <f t="shared" si="0"/>
        <v>0</v>
      </c>
      <c r="P44" s="9">
        <f t="shared" si="1"/>
        <v>13166.697605168454</v>
      </c>
      <c r="Q44" s="9" t="str">
        <f t="shared" si="2"/>
        <v/>
      </c>
      <c r="R44" s="9">
        <f t="shared" si="3"/>
        <v>35301.3592225334</v>
      </c>
    </row>
    <row r="45" spans="1:18" ht="15.5">
      <c r="A45" s="7" t="s">
        <v>2</v>
      </c>
      <c r="B45" s="7" t="s">
        <v>3</v>
      </c>
      <c r="C45" s="8">
        <v>1997</v>
      </c>
      <c r="D45" s="9">
        <v>8.1678999999999995</v>
      </c>
      <c r="E45" s="9">
        <v>3.5061354637146001</v>
      </c>
      <c r="F45" s="9"/>
      <c r="G45" s="9">
        <v>2.3882901668548602</v>
      </c>
      <c r="H45" s="9">
        <v>48010.6328125</v>
      </c>
      <c r="I45" s="9">
        <v>128831.3828125</v>
      </c>
      <c r="J45" s="9">
        <v>1.0253872871398899</v>
      </c>
      <c r="K45" s="9">
        <v>0.54931980371475198</v>
      </c>
      <c r="L45" s="9" t="e">
        <f>IF(OR(OIT!#REF!="",OIT!#REF!=""),"",OIT!#REF!-OIT!#REF!)</f>
        <v>#REF!</v>
      </c>
      <c r="M45" s="9" t="e">
        <f>IF(OR(OIT!#REF!="",OIT!#REF!=""),"",OIT!#REF!-OIT!#REF!)</f>
        <v>#REF!</v>
      </c>
      <c r="N45" s="9" t="e">
        <f>IF(OR(OIT!#REF!="",OIT!#REF!=""),"",OIT!#REF!-OIT!#REF!)</f>
        <v>#REF!</v>
      </c>
      <c r="O45" s="9">
        <f t="shared" si="0"/>
        <v>0</v>
      </c>
      <c r="P45" s="9">
        <f t="shared" si="1"/>
        <v>13693.319413744155</v>
      </c>
      <c r="Q45" s="9" t="str">
        <f t="shared" si="2"/>
        <v/>
      </c>
      <c r="R45" s="9">
        <f t="shared" si="3"/>
        <v>36744.553696167997</v>
      </c>
    </row>
    <row r="46" spans="1:18" ht="15.5">
      <c r="A46" s="7" t="s">
        <v>2</v>
      </c>
      <c r="B46" s="7" t="s">
        <v>3</v>
      </c>
      <c r="C46" s="8">
        <v>1998</v>
      </c>
      <c r="D46" s="9">
        <v>8.3133940000000006</v>
      </c>
      <c r="E46" s="9">
        <v>3.5393097400665301</v>
      </c>
      <c r="F46" s="9"/>
      <c r="G46" s="9">
        <v>2.4219212532043501</v>
      </c>
      <c r="H46" s="9">
        <v>50425.25390625</v>
      </c>
      <c r="I46" s="9">
        <v>137689.65625</v>
      </c>
      <c r="J46" s="9">
        <v>1.02089703083038</v>
      </c>
      <c r="K46" s="9">
        <v>0.51867204904556297</v>
      </c>
      <c r="L46" s="9" t="e">
        <f>IF(OR(OIT!#REF!="",OIT!#REF!=""),"",OIT!#REF!-OIT!#REF!)</f>
        <v>#REF!</v>
      </c>
      <c r="M46" s="9" t="e">
        <f>IF(OR(OIT!#REF!="",OIT!#REF!=""),"",OIT!#REF!-OIT!#REF!)</f>
        <v>#REF!</v>
      </c>
      <c r="N46" s="9" t="e">
        <f>IF(OR(OIT!#REF!="",OIT!#REF!=""),"",OIT!#REF!-OIT!#REF!)</f>
        <v>#REF!</v>
      </c>
      <c r="O46" s="9">
        <f t="shared" si="0"/>
        <v>0</v>
      </c>
      <c r="P46" s="9">
        <f t="shared" si="1"/>
        <v>14247.200050171967</v>
      </c>
      <c r="Q46" s="9" t="str">
        <f t="shared" si="2"/>
        <v/>
      </c>
      <c r="R46" s="9">
        <f t="shared" si="3"/>
        <v>38902.968760064439</v>
      </c>
    </row>
    <row r="47" spans="1:18" ht="15.5">
      <c r="A47" s="7" t="s">
        <v>2</v>
      </c>
      <c r="B47" s="7" t="s">
        <v>3</v>
      </c>
      <c r="C47" s="8">
        <v>1999</v>
      </c>
      <c r="D47" s="9">
        <v>8.4598060000000004</v>
      </c>
      <c r="E47" s="9">
        <v>3.5919547080993701</v>
      </c>
      <c r="F47" s="9"/>
      <c r="G47" s="9">
        <v>2.45602583885193</v>
      </c>
      <c r="H47" s="9">
        <v>50640.515625</v>
      </c>
      <c r="I47" s="9">
        <v>143426.03125</v>
      </c>
      <c r="J47" s="9">
        <v>0.98646795749664296</v>
      </c>
      <c r="K47" s="9">
        <v>0.53787636756896995</v>
      </c>
      <c r="L47" s="9" t="e">
        <f>IF(OR(OIT!#REF!="",OIT!#REF!=""),"",OIT!#REF!-OIT!#REF!)</f>
        <v>#REF!</v>
      </c>
      <c r="M47" s="9" t="e">
        <f>IF(OR(OIT!#REF!="",OIT!#REF!=""),"",OIT!#REF!-OIT!#REF!)</f>
        <v>#REF!</v>
      </c>
      <c r="N47" s="9" t="e">
        <f>IF(OR(OIT!#REF!="",OIT!#REF!=""),"",OIT!#REF!-OIT!#REF!)</f>
        <v>#REF!</v>
      </c>
      <c r="O47" s="9">
        <f t="shared" si="0"/>
        <v>0</v>
      </c>
      <c r="P47" s="9">
        <f t="shared" si="1"/>
        <v>14098.316860959441</v>
      </c>
      <c r="Q47" s="9" t="str">
        <f t="shared" si="2"/>
        <v/>
      </c>
      <c r="R47" s="9">
        <f t="shared" si="3"/>
        <v>39929.799483995099</v>
      </c>
    </row>
    <row r="48" spans="1:18" ht="15.5">
      <c r="A48" s="7" t="s">
        <v>2</v>
      </c>
      <c r="B48" s="7" t="s">
        <v>3</v>
      </c>
      <c r="C48" s="8">
        <v>2000</v>
      </c>
      <c r="D48" s="9">
        <v>8.6063259999999993</v>
      </c>
      <c r="E48" s="9">
        <v>3.6714963912963898</v>
      </c>
      <c r="F48" s="9"/>
      <c r="G48" s="9">
        <v>2.4906108379364</v>
      </c>
      <c r="H48" s="9">
        <v>51910.4765625</v>
      </c>
      <c r="I48" s="9">
        <v>147694.03125</v>
      </c>
      <c r="J48" s="9">
        <v>0.97558814287185702</v>
      </c>
      <c r="K48" s="9">
        <v>0.56012141704559304</v>
      </c>
      <c r="L48" s="9" t="e">
        <f>IF(OR(OIT!#REF!="",OIT!#REF!=""),"",OIT!#REF!-OIT!#REF!)</f>
        <v>#REF!</v>
      </c>
      <c r="M48" s="9" t="e">
        <f>IF(OR(OIT!#REF!="",OIT!#REF!=""),"",OIT!#REF!-OIT!#REF!)</f>
        <v>#REF!</v>
      </c>
      <c r="N48" s="9" t="e">
        <f>IF(OR(OIT!#REF!="",OIT!#REF!=""),"",OIT!#REF!-OIT!#REF!)</f>
        <v>#REF!</v>
      </c>
      <c r="O48" s="9">
        <f t="shared" si="0"/>
        <v>0</v>
      </c>
      <c r="P48" s="9">
        <f t="shared" si="1"/>
        <v>14138.779132551626</v>
      </c>
      <c r="Q48" s="9" t="str">
        <f t="shared" si="2"/>
        <v/>
      </c>
      <c r="R48" s="9">
        <f t="shared" si="3"/>
        <v>40227.203164388746</v>
      </c>
    </row>
    <row r="49" spans="1:18" ht="15.5">
      <c r="A49" s="7" t="s">
        <v>2</v>
      </c>
      <c r="B49" s="7" t="s">
        <v>3</v>
      </c>
      <c r="C49" s="8">
        <v>2001</v>
      </c>
      <c r="D49" s="9">
        <v>8.7527360000000005</v>
      </c>
      <c r="E49" s="9">
        <v>3.7142388820648198</v>
      </c>
      <c r="F49" s="9"/>
      <c r="G49" s="9">
        <v>2.5198793411254901</v>
      </c>
      <c r="H49" s="9">
        <v>52784.55078125</v>
      </c>
      <c r="I49" s="9">
        <v>149271.140625</v>
      </c>
      <c r="J49" s="9">
        <v>0.98463267087936401</v>
      </c>
      <c r="K49" s="9">
        <v>0.55858963727951105</v>
      </c>
      <c r="L49" s="9" t="e">
        <f>IF(OR(OIT!#REF!="",OIT!#REF!=""),"",OIT!#REF!-OIT!#REF!)</f>
        <v>#REF!</v>
      </c>
      <c r="M49" s="9" t="e">
        <f>IF(OR(OIT!#REF!="",OIT!#REF!=""),"",OIT!#REF!-OIT!#REF!)</f>
        <v>#REF!</v>
      </c>
      <c r="N49" s="9" t="e">
        <f>IF(OR(OIT!#REF!="",OIT!#REF!=""),"",OIT!#REF!-OIT!#REF!)</f>
        <v>#REF!</v>
      </c>
      <c r="O49" s="9">
        <f t="shared" si="0"/>
        <v>0</v>
      </c>
      <c r="P49" s="9">
        <f t="shared" si="1"/>
        <v>14211.404397313834</v>
      </c>
      <c r="Q49" s="9" t="str">
        <f t="shared" si="2"/>
        <v/>
      </c>
      <c r="R49" s="9">
        <f t="shared" si="3"/>
        <v>40188.89074307929</v>
      </c>
    </row>
    <row r="50" spans="1:18" ht="15.5">
      <c r="A50" s="7" t="s">
        <v>2</v>
      </c>
      <c r="B50" s="7" t="s">
        <v>3</v>
      </c>
      <c r="C50" s="8">
        <v>2002</v>
      </c>
      <c r="D50" s="9">
        <v>8.9003549999999994</v>
      </c>
      <c r="E50" s="9">
        <v>3.7599794864654501</v>
      </c>
      <c r="F50" s="9"/>
      <c r="G50" s="9">
        <v>2.5494916439056401</v>
      </c>
      <c r="H50" s="9">
        <v>54096.546875</v>
      </c>
      <c r="I50" s="9">
        <v>152729.828125</v>
      </c>
      <c r="J50" s="9">
        <v>0.99420183897018399</v>
      </c>
      <c r="K50" s="9">
        <v>0.54747527837753296</v>
      </c>
      <c r="L50" s="9" t="e">
        <f>IF(OR(OIT!#REF!="",OIT!#REF!=""),"",OIT!#REF!-OIT!#REF!)</f>
        <v>#REF!</v>
      </c>
      <c r="M50" s="9" t="e">
        <f>IF(OR(OIT!#REF!="",OIT!#REF!=""),"",OIT!#REF!-OIT!#REF!)</f>
        <v>#REF!</v>
      </c>
      <c r="N50" s="9" t="e">
        <f>IF(OR(OIT!#REF!="",OIT!#REF!=""),"",OIT!#REF!-OIT!#REF!)</f>
        <v>#REF!</v>
      </c>
      <c r="O50" s="9">
        <f t="shared" si="0"/>
        <v>0</v>
      </c>
      <c r="P50" s="9">
        <f t="shared" si="1"/>
        <v>14387.457982078829</v>
      </c>
      <c r="Q50" s="9" t="str">
        <f t="shared" si="2"/>
        <v/>
      </c>
      <c r="R50" s="9">
        <f t="shared" si="3"/>
        <v>40619.856750487997</v>
      </c>
    </row>
    <row r="51" spans="1:18" ht="15.5">
      <c r="A51" s="7" t="s">
        <v>2</v>
      </c>
      <c r="B51" s="7" t="s">
        <v>3</v>
      </c>
      <c r="C51" s="8">
        <v>2003</v>
      </c>
      <c r="D51" s="9">
        <v>9.0507000000000009</v>
      </c>
      <c r="E51" s="9">
        <v>3.7209091186523402</v>
      </c>
      <c r="F51" s="9"/>
      <c r="G51" s="9">
        <v>2.5730738639831499</v>
      </c>
      <c r="H51" s="9">
        <v>55563.28515625</v>
      </c>
      <c r="I51" s="9">
        <v>155010.390625</v>
      </c>
      <c r="J51" s="9">
        <v>1.02132999897003</v>
      </c>
      <c r="K51" s="9">
        <v>0.54515248537063599</v>
      </c>
      <c r="L51" s="9" t="e">
        <f>IF(OR(OIT!#REF!="",OIT!#REF!=""),"",OIT!#REF!-OIT!#REF!)</f>
        <v>#REF!</v>
      </c>
      <c r="M51" s="9" t="e">
        <f>IF(OR(OIT!#REF!="",OIT!#REF!=""),"",OIT!#REF!-OIT!#REF!)</f>
        <v>#REF!</v>
      </c>
      <c r="N51" s="9" t="e">
        <f>IF(OR(OIT!#REF!="",OIT!#REF!=""),"",OIT!#REF!-OIT!#REF!)</f>
        <v>#REF!</v>
      </c>
      <c r="O51" s="9">
        <f t="shared" si="0"/>
        <v>0</v>
      </c>
      <c r="P51" s="9">
        <f t="shared" si="1"/>
        <v>14932.717619390345</v>
      </c>
      <c r="Q51" s="9" t="str">
        <f t="shared" si="2"/>
        <v/>
      </c>
      <c r="R51" s="9">
        <f t="shared" si="3"/>
        <v>41659.278870305367</v>
      </c>
    </row>
    <row r="52" spans="1:18" ht="15.5">
      <c r="A52" s="7" t="s">
        <v>2</v>
      </c>
      <c r="B52" s="7" t="s">
        <v>3</v>
      </c>
      <c r="C52" s="8">
        <v>2004</v>
      </c>
      <c r="D52" s="9">
        <v>9.2042870000000008</v>
      </c>
      <c r="E52" s="9">
        <v>3.9563753604888898</v>
      </c>
      <c r="F52" s="9"/>
      <c r="G52" s="9">
        <v>2.5933930873870898</v>
      </c>
      <c r="H52" s="9">
        <v>57882.10546875</v>
      </c>
      <c r="I52" s="9">
        <v>157224.1875</v>
      </c>
      <c r="J52" s="9">
        <v>1.02003502845764</v>
      </c>
      <c r="K52" s="9">
        <v>0.524885714054108</v>
      </c>
      <c r="L52" s="9" t="e">
        <f>IF(OR(OIT!#REF!="",OIT!#REF!=""),"",OIT!#REF!-OIT!#REF!)</f>
        <v>#REF!</v>
      </c>
      <c r="M52" s="9" t="e">
        <f>IF(OR(OIT!#REF!="",OIT!#REF!=""),"",OIT!#REF!-OIT!#REF!)</f>
        <v>#REF!</v>
      </c>
      <c r="N52" s="9" t="e">
        <f>IF(OR(OIT!#REF!="",OIT!#REF!=""),"",OIT!#REF!-OIT!#REF!)</f>
        <v>#REF!</v>
      </c>
      <c r="O52" s="9">
        <f t="shared" si="0"/>
        <v>0</v>
      </c>
      <c r="P52" s="9">
        <f t="shared" si="1"/>
        <v>14630.084406752927</v>
      </c>
      <c r="Q52" s="9" t="str">
        <f t="shared" si="2"/>
        <v/>
      </c>
      <c r="R52" s="9">
        <f t="shared" si="3"/>
        <v>39739.451688570771</v>
      </c>
    </row>
    <row r="53" spans="1:18" ht="15.5">
      <c r="A53" s="7" t="s">
        <v>2</v>
      </c>
      <c r="B53" s="7" t="s">
        <v>3</v>
      </c>
      <c r="C53" s="8">
        <v>2005</v>
      </c>
      <c r="D53" s="9">
        <v>9.360754</v>
      </c>
      <c r="E53" s="9">
        <v>4.0461316108703604</v>
      </c>
      <c r="F53" s="9">
        <v>2188.09</v>
      </c>
      <c r="G53" s="9">
        <v>2.6138725280761701</v>
      </c>
      <c r="H53" s="9">
        <v>60441.3203125</v>
      </c>
      <c r="I53" s="9">
        <v>160148.0625</v>
      </c>
      <c r="J53" s="9">
        <v>1.03982269763947</v>
      </c>
      <c r="K53" s="9">
        <v>0.51447939872741699</v>
      </c>
      <c r="L53" s="9" t="e">
        <f>IF(OR(OIT!#REF!="",OIT!#REF!=""),"",OIT!#REF!-OIT!#REF!)</f>
        <v>#REF!</v>
      </c>
      <c r="M53" s="9" t="e">
        <f>IF(OR(OIT!#REF!="",OIT!#REF!=""),"",OIT!#REF!-OIT!#REF!)</f>
        <v>#REF!</v>
      </c>
      <c r="N53" s="9" t="e">
        <f>IF(OR(OIT!#REF!="",OIT!#REF!=""),"",OIT!#REF!-OIT!#REF!)</f>
        <v>#REF!</v>
      </c>
      <c r="O53" s="9">
        <f t="shared" si="0"/>
        <v>8853.3001164293273</v>
      </c>
      <c r="P53" s="9">
        <f t="shared" si="1"/>
        <v>14938.050989275287</v>
      </c>
      <c r="Q53" s="9">
        <f t="shared" si="2"/>
        <v>6.8269819748160661</v>
      </c>
      <c r="R53" s="9">
        <f t="shared" si="3"/>
        <v>39580.537140646957</v>
      </c>
    </row>
    <row r="54" spans="1:18" ht="15.5">
      <c r="A54" s="7" t="s">
        <v>2</v>
      </c>
      <c r="B54" s="7" t="s">
        <v>3</v>
      </c>
      <c r="C54" s="8">
        <v>2006</v>
      </c>
      <c r="D54" s="9">
        <v>9.5216890000000003</v>
      </c>
      <c r="E54" s="9">
        <v>4.1832070350646999</v>
      </c>
      <c r="F54" s="9">
        <v>2170.0700000000002</v>
      </c>
      <c r="G54" s="9">
        <v>2.6345136165618901</v>
      </c>
      <c r="H54" s="9">
        <v>63340.703125</v>
      </c>
      <c r="I54" s="9">
        <v>163978.3125</v>
      </c>
      <c r="J54" s="9">
        <v>1.05855548381805</v>
      </c>
      <c r="K54" s="9">
        <v>0.47956404089927701</v>
      </c>
      <c r="L54" s="9" t="e">
        <f>IF(OR(OIT!#REF!="",OIT!#REF!=""),"",OIT!#REF!-OIT!#REF!)</f>
        <v>#REF!</v>
      </c>
      <c r="M54" s="9" t="e">
        <f>IF(OR(OIT!#REF!="",OIT!#REF!=""),"",OIT!#REF!-OIT!#REF!)</f>
        <v>#REF!</v>
      </c>
      <c r="N54" s="9" t="e">
        <f>IF(OR(OIT!#REF!="",OIT!#REF!=""),"",OIT!#REF!-OIT!#REF!)</f>
        <v>#REF!</v>
      </c>
      <c r="O54" s="9">
        <f t="shared" si="0"/>
        <v>9077.8520905828536</v>
      </c>
      <c r="P54" s="9">
        <f t="shared" si="1"/>
        <v>15141.661073444895</v>
      </c>
      <c r="Q54" s="9">
        <f t="shared" si="2"/>
        <v>6.9774989163690089</v>
      </c>
      <c r="R54" s="9">
        <f t="shared" si="3"/>
        <v>39199.186443676415</v>
      </c>
    </row>
    <row r="55" spans="1:18" ht="15.5">
      <c r="A55" s="7" t="s">
        <v>2</v>
      </c>
      <c r="B55" s="7" t="s">
        <v>3</v>
      </c>
      <c r="C55" s="8">
        <v>2007</v>
      </c>
      <c r="D55" s="9">
        <v>9.6859599999999997</v>
      </c>
      <c r="E55" s="9">
        <v>4.2353239059448198</v>
      </c>
      <c r="F55" s="9">
        <v>2195.81</v>
      </c>
      <c r="G55" s="9">
        <v>2.6553177833557098</v>
      </c>
      <c r="H55" s="9">
        <v>66231.8125</v>
      </c>
      <c r="I55" s="9">
        <v>169294.90625</v>
      </c>
      <c r="J55" s="9">
        <v>1.0705755949020399</v>
      </c>
      <c r="K55" s="9">
        <v>0.47107648849487299</v>
      </c>
      <c r="L55" s="9" t="e">
        <f>IF(OR(OIT!#REF!="",OIT!#REF!=""),"",OIT!#REF!-OIT!#REF!)</f>
        <v>#REF!</v>
      </c>
      <c r="M55" s="9" t="e">
        <f>IF(OR(OIT!#REF!="",OIT!#REF!=""),"",OIT!#REF!-OIT!#REF!)</f>
        <v>#REF!</v>
      </c>
      <c r="N55" s="9" t="e">
        <f>IF(OR(OIT!#REF!="",OIT!#REF!=""),"",OIT!#REF!-OIT!#REF!)</f>
        <v>#REF!</v>
      </c>
      <c r="O55" s="9">
        <f t="shared" si="0"/>
        <v>9299.9665859126944</v>
      </c>
      <c r="P55" s="9">
        <f t="shared" si="1"/>
        <v>15637.956853083931</v>
      </c>
      <c r="Q55" s="9">
        <f t="shared" si="2"/>
        <v>7.1217258565558641</v>
      </c>
      <c r="R55" s="9">
        <f t="shared" si="3"/>
        <v>39972.127282254114</v>
      </c>
    </row>
    <row r="56" spans="1:18" ht="15.5">
      <c r="A56" s="7" t="s">
        <v>2</v>
      </c>
      <c r="B56" s="7" t="s">
        <v>3</v>
      </c>
      <c r="C56" s="8">
        <v>2008</v>
      </c>
      <c r="D56" s="9">
        <v>9.8508580000000006</v>
      </c>
      <c r="E56" s="9">
        <v>4.3654713630676296</v>
      </c>
      <c r="F56" s="9">
        <v>2201.54</v>
      </c>
      <c r="G56" s="9">
        <v>2.6762862205505402</v>
      </c>
      <c r="H56" s="9">
        <v>70304.0703125</v>
      </c>
      <c r="I56" s="9">
        <v>176909.484375</v>
      </c>
      <c r="J56" s="9">
        <v>1.0875645875930799</v>
      </c>
      <c r="K56" s="9">
        <v>0.4520583152771</v>
      </c>
      <c r="L56" s="9" t="e">
        <f>IF(OR(OIT!#REF!="",OIT!#REF!=""),"",OIT!#REF!-OIT!#REF!)</f>
        <v>#REF!</v>
      </c>
      <c r="M56" s="9" t="e">
        <f>IF(OR(OIT!#REF!="",OIT!#REF!=""),"",OIT!#REF!-OIT!#REF!)</f>
        <v>#REF!</v>
      </c>
      <c r="N56" s="9" t="e">
        <f>IF(OR(OIT!#REF!="",OIT!#REF!=""),"",OIT!#REF!-OIT!#REF!)</f>
        <v>#REF!</v>
      </c>
      <c r="O56" s="9">
        <f t="shared" si="0"/>
        <v>9610.7598246479083</v>
      </c>
      <c r="P56" s="9">
        <f t="shared" si="1"/>
        <v>16104.577138514802</v>
      </c>
      <c r="Q56" s="9">
        <f t="shared" si="2"/>
        <v>7.3151417364730165</v>
      </c>
      <c r="R56" s="9">
        <f t="shared" si="3"/>
        <v>40524.715354147964</v>
      </c>
    </row>
    <row r="57" spans="1:18" ht="15.5">
      <c r="A57" s="7" t="s">
        <v>2</v>
      </c>
      <c r="B57" s="7" t="s">
        <v>3</v>
      </c>
      <c r="C57" s="8">
        <v>2009</v>
      </c>
      <c r="D57" s="9">
        <v>10.016275</v>
      </c>
      <c r="E57" s="9">
        <v>4.3647217750549299</v>
      </c>
      <c r="F57" s="9">
        <v>2210.75</v>
      </c>
      <c r="G57" s="9">
        <v>2.69742035865784</v>
      </c>
      <c r="H57" s="9">
        <v>72664.1796875</v>
      </c>
      <c r="I57" s="9">
        <v>184364.15625</v>
      </c>
      <c r="J57" s="9">
        <v>1.0916153192520099</v>
      </c>
      <c r="K57" s="9">
        <v>0.477365702390671</v>
      </c>
      <c r="L57" s="9" t="e">
        <f>IF(OR(OIT!#REF!="",OIT!#REF!=""),"",OIT!#REF!-OIT!#REF!)</f>
        <v>#REF!</v>
      </c>
      <c r="M57" s="9" t="e">
        <f>IF(OR(OIT!#REF!="",OIT!#REF!=""),"",OIT!#REF!-OIT!#REF!)</f>
        <v>#REF!</v>
      </c>
      <c r="N57" s="9" t="e">
        <f>IF(OR(OIT!#REF!="",OIT!#REF!=""),"",OIT!#REF!-OIT!#REF!)</f>
        <v>#REF!</v>
      </c>
      <c r="O57" s="9">
        <f t="shared" si="0"/>
        <v>9649.3086642026865</v>
      </c>
      <c r="P57" s="9">
        <f t="shared" si="1"/>
        <v>16648.066802971771</v>
      </c>
      <c r="Q57" s="9">
        <f t="shared" si="2"/>
        <v>7.5305063001116226</v>
      </c>
      <c r="R57" s="9">
        <f t="shared" si="3"/>
        <v>42239.612454491391</v>
      </c>
    </row>
    <row r="58" spans="1:18" ht="15.5">
      <c r="A58" s="7" t="s">
        <v>2</v>
      </c>
      <c r="B58" s="7" t="s">
        <v>3</v>
      </c>
      <c r="C58" s="8">
        <v>2010</v>
      </c>
      <c r="D58" s="9">
        <v>10.182345</v>
      </c>
      <c r="E58" s="9">
        <v>4.4446258544921902</v>
      </c>
      <c r="F58" s="9">
        <v>2194.3000000000002</v>
      </c>
      <c r="G58" s="9">
        <v>2.71872138977051</v>
      </c>
      <c r="H58" s="9">
        <v>75662.828125</v>
      </c>
      <c r="I58" s="9">
        <v>192673.28125</v>
      </c>
      <c r="J58" s="9">
        <v>1.09821140766144</v>
      </c>
      <c r="K58" s="9">
        <v>0.45084834098815901</v>
      </c>
      <c r="L58" s="9" t="e">
        <f>IF(OR(OIT!#REF!="",OIT!#REF!=""),"",OIT!#REF!-OIT!#REF!)</f>
        <v>#REF!</v>
      </c>
      <c r="M58" s="9" t="e">
        <f>IF(OR(OIT!#REF!="",OIT!#REF!=""),"",OIT!#REF!-OIT!#REF!)</f>
        <v>#REF!</v>
      </c>
      <c r="N58" s="9" t="e">
        <f>IF(OR(OIT!#REF!="",OIT!#REF!=""),"",OIT!#REF!-OIT!#REF!)</f>
        <v>#REF!</v>
      </c>
      <c r="O58" s="9">
        <f t="shared" si="0"/>
        <v>9752.8425125122139</v>
      </c>
      <c r="P58" s="9">
        <f t="shared" si="1"/>
        <v>17023.441477875458</v>
      </c>
      <c r="Q58" s="9">
        <f t="shared" si="2"/>
        <v>7.7580282905142672</v>
      </c>
      <c r="R58" s="9">
        <f t="shared" si="3"/>
        <v>43349.718864471979</v>
      </c>
    </row>
    <row r="59" spans="1:18" ht="15.5">
      <c r="A59" s="7" t="s">
        <v>2</v>
      </c>
      <c r="B59" s="7" t="s">
        <v>3</v>
      </c>
      <c r="C59" s="8">
        <v>2011</v>
      </c>
      <c r="D59" s="9">
        <v>10.348929</v>
      </c>
      <c r="E59" s="9">
        <v>4.5781431198120099</v>
      </c>
      <c r="F59" s="9">
        <v>2183.91</v>
      </c>
      <c r="G59" s="9">
        <v>2.7451503276825</v>
      </c>
      <c r="H59" s="9">
        <v>79600.390625</v>
      </c>
      <c r="I59" s="9">
        <v>204597.28125</v>
      </c>
      <c r="J59" s="9">
        <v>1.0958337783813501</v>
      </c>
      <c r="K59" s="9">
        <v>0.454684138298035</v>
      </c>
      <c r="L59" s="9" t="e">
        <f>IF(OR(OIT!#REF!="",OIT!#REF!=""),"",OIT!#REF!-OIT!#REF!)</f>
        <v>#REF!</v>
      </c>
      <c r="M59" s="9" t="e">
        <f>IF(OR(OIT!#REF!="",OIT!#REF!=""),"",OIT!#REF!-OIT!#REF!)</f>
        <v>#REF!</v>
      </c>
      <c r="N59" s="9" t="e">
        <f>IF(OR(OIT!#REF!="",OIT!#REF!=""),"",OIT!#REF!-OIT!#REF!)</f>
        <v>#REF!</v>
      </c>
      <c r="O59" s="9">
        <f t="shared" si="0"/>
        <v>9998.252540788646</v>
      </c>
      <c r="P59" s="9">
        <f t="shared" si="1"/>
        <v>17387.047224567457</v>
      </c>
      <c r="Q59" s="9">
        <f t="shared" si="2"/>
        <v>7.9614302899695764</v>
      </c>
      <c r="R59" s="9">
        <f t="shared" si="3"/>
        <v>44690.014247173924</v>
      </c>
    </row>
    <row r="60" spans="1:18" ht="15.5">
      <c r="A60" s="7" t="s">
        <v>2</v>
      </c>
      <c r="B60" s="7" t="s">
        <v>3</v>
      </c>
      <c r="C60" s="8">
        <v>2012</v>
      </c>
      <c r="D60" s="9">
        <v>10.515807000000001</v>
      </c>
      <c r="E60" s="9">
        <v>4.7197232246398899</v>
      </c>
      <c r="F60" s="9">
        <v>2187.16</v>
      </c>
      <c r="G60" s="9">
        <v>2.7718360424041801</v>
      </c>
      <c r="H60" s="9">
        <v>83677.75</v>
      </c>
      <c r="I60" s="9">
        <v>216002.65625</v>
      </c>
      <c r="J60" s="9">
        <v>1.0940746068954501</v>
      </c>
      <c r="K60" s="9">
        <v>0.45478174090385398</v>
      </c>
      <c r="L60" s="9" t="e">
        <f>IF(OR(OIT!#REF!="",OIT!#REF!=""),"",OIT!#REF!-OIT!#REF!)</f>
        <v>#REF!</v>
      </c>
      <c r="M60" s="9" t="e">
        <f>IF(OR(OIT!#REF!="",OIT!#REF!=""),"",OIT!#REF!-OIT!#REF!)</f>
        <v>#REF!</v>
      </c>
      <c r="N60" s="9" t="e">
        <f>IF(OR(OIT!#REF!="",OIT!#REF!=""),"",OIT!#REF!-OIT!#REF!)</f>
        <v>#REF!</v>
      </c>
      <c r="O60" s="9">
        <f t="shared" si="0"/>
        <v>10322.78984800338</v>
      </c>
      <c r="P60" s="9">
        <f t="shared" si="1"/>
        <v>17729.37649461098</v>
      </c>
      <c r="Q60" s="9">
        <f t="shared" si="2"/>
        <v>8.1061177484093445</v>
      </c>
      <c r="R60" s="9">
        <f t="shared" si="3"/>
        <v>45765.95829228541</v>
      </c>
    </row>
    <row r="61" spans="1:18" ht="15.5">
      <c r="A61" s="7" t="s">
        <v>2</v>
      </c>
      <c r="B61" s="7" t="s">
        <v>3</v>
      </c>
      <c r="C61" s="8">
        <v>2013</v>
      </c>
      <c r="D61" s="9">
        <v>10.682608</v>
      </c>
      <c r="E61" s="9">
        <v>4.81361627578735</v>
      </c>
      <c r="F61" s="9">
        <v>2178.33</v>
      </c>
      <c r="G61" s="9">
        <v>2.7987813949585001</v>
      </c>
      <c r="H61" s="9">
        <v>89364.5</v>
      </c>
      <c r="I61" s="9">
        <v>229287.53125</v>
      </c>
      <c r="J61" s="9">
        <v>1.11478471755981</v>
      </c>
      <c r="K61" s="9">
        <v>0.46014347672462502</v>
      </c>
      <c r="L61" s="9" t="e">
        <f>IF(OR(OIT!#REF!="",OIT!#REF!=""),"",OIT!#REF!-OIT!#REF!)</f>
        <v>#REF!</v>
      </c>
      <c r="M61" s="9" t="e">
        <f>IF(OR(OIT!#REF!="",OIT!#REF!=""),"",OIT!#REF!-OIT!#REF!)</f>
        <v>#REF!</v>
      </c>
      <c r="N61" s="9" t="e">
        <f>IF(OR(OIT!#REF!="",OIT!#REF!=""),"",OIT!#REF!-OIT!#REF!)</f>
        <v>#REF!</v>
      </c>
      <c r="O61" s="9">
        <f t="shared" si="0"/>
        <v>10485.644742035858</v>
      </c>
      <c r="P61" s="9">
        <f t="shared" si="1"/>
        <v>18564.940551972621</v>
      </c>
      <c r="Q61" s="9">
        <f t="shared" si="2"/>
        <v>8.5225565235628302</v>
      </c>
      <c r="R61" s="9">
        <f t="shared" si="3"/>
        <v>47633.113674499546</v>
      </c>
    </row>
    <row r="62" spans="1:18" ht="15.5">
      <c r="A62" s="7" t="s">
        <v>2</v>
      </c>
      <c r="B62" s="7" t="s">
        <v>3</v>
      </c>
      <c r="C62" s="8">
        <v>2014</v>
      </c>
      <c r="D62" s="9">
        <v>10.848888000000001</v>
      </c>
      <c r="E62" s="9">
        <v>4.9675831794738796</v>
      </c>
      <c r="F62" s="9">
        <v>2222.29</v>
      </c>
      <c r="G62" s="9">
        <v>2.82598876953125</v>
      </c>
      <c r="H62" s="9">
        <v>94244.3125</v>
      </c>
      <c r="I62" s="9">
        <v>244493.890625</v>
      </c>
      <c r="J62" s="9">
        <v>1.1010172367095901</v>
      </c>
      <c r="K62" s="9">
        <v>0.47238171100616499</v>
      </c>
      <c r="L62" s="9" t="e">
        <f>IF(OR(OIT!#REF!="",OIT!#REF!=""),"",OIT!#REF!-OIT!#REF!)</f>
        <v>#REF!</v>
      </c>
      <c r="M62" s="9" t="e">
        <f>IF(OR(OIT!#REF!="",OIT!#REF!=""),"",OIT!#REF!-OIT!#REF!)</f>
        <v>#REF!</v>
      </c>
      <c r="N62" s="9" t="e">
        <f>IF(OR(OIT!#REF!="",OIT!#REF!=""),"",OIT!#REF!-OIT!#REF!)</f>
        <v>#REF!</v>
      </c>
      <c r="O62" s="9">
        <f t="shared" si="0"/>
        <v>11039.410423913008</v>
      </c>
      <c r="P62" s="9">
        <f t="shared" si="1"/>
        <v>18971.864002080281</v>
      </c>
      <c r="Q62" s="9">
        <f t="shared" si="2"/>
        <v>8.5370784200443151</v>
      </c>
      <c r="R62" s="9">
        <f t="shared" si="3"/>
        <v>49217.875532563208</v>
      </c>
    </row>
    <row r="63" spans="1:18" ht="15.5">
      <c r="A63" s="7" t="s">
        <v>2</v>
      </c>
      <c r="B63" s="7" t="s">
        <v>3</v>
      </c>
      <c r="C63" s="8">
        <v>2015</v>
      </c>
      <c r="D63" s="9">
        <v>11.014704999999999</v>
      </c>
      <c r="E63" s="9">
        <v>5.0295720100402797</v>
      </c>
      <c r="F63" s="9">
        <v>2228.73</v>
      </c>
      <c r="G63" s="9">
        <v>2.8534605503082302</v>
      </c>
      <c r="H63" s="9">
        <v>98821.9296875</v>
      </c>
      <c r="I63" s="9">
        <v>259789</v>
      </c>
      <c r="J63" s="9">
        <v>1.0990364551544201</v>
      </c>
      <c r="K63" s="9">
        <v>0.49844121932983398</v>
      </c>
      <c r="L63" s="9" t="e">
        <f>IF(OR(OIT!#REF!="",OIT!#REF!=""),"",OIT!#REF!-OIT!#REF!)</f>
        <v>#REF!</v>
      </c>
      <c r="M63" s="9" t="e">
        <f>IF(OR(OIT!#REF!="",OIT!#REF!=""),"",OIT!#REF!-OIT!#REF!)</f>
        <v>#REF!</v>
      </c>
      <c r="N63" s="9" t="e">
        <f>IF(OR(OIT!#REF!="",OIT!#REF!=""),"",OIT!#REF!-OIT!#REF!)</f>
        <v>#REF!</v>
      </c>
      <c r="O63" s="9">
        <f t="shared" si="0"/>
        <v>11209.558025937073</v>
      </c>
      <c r="P63" s="9">
        <f t="shared" si="1"/>
        <v>19648.178709883621</v>
      </c>
      <c r="Q63" s="9">
        <f t="shared" si="2"/>
        <v>8.8158631641713541</v>
      </c>
      <c r="R63" s="9">
        <f t="shared" si="3"/>
        <v>51652.307488867125</v>
      </c>
    </row>
    <row r="64" spans="1:18" ht="15.5">
      <c r="A64" s="7" t="s">
        <v>2</v>
      </c>
      <c r="B64" s="7" t="s">
        <v>3</v>
      </c>
      <c r="C64" s="8">
        <v>2016</v>
      </c>
      <c r="D64" s="9">
        <v>11.180020000000001</v>
      </c>
      <c r="E64" s="9">
        <v>5.1527748107910201</v>
      </c>
      <c r="F64" s="9">
        <v>2230.69</v>
      </c>
      <c r="G64" s="9">
        <v>2.8811991214752202</v>
      </c>
      <c r="H64" s="9">
        <v>103035.6171875</v>
      </c>
      <c r="I64" s="9">
        <v>274262.6875</v>
      </c>
      <c r="J64" s="9">
        <v>1.0920591354370099</v>
      </c>
      <c r="K64" s="9">
        <v>0.49844121932983398</v>
      </c>
      <c r="L64" s="9" t="e">
        <f>IF(OR(OIT!#REF!="",OIT!#REF!=""),"",OIT!#REF!-OIT!#REF!)</f>
        <v>#REF!</v>
      </c>
      <c r="M64" s="9" t="e">
        <f>IF(OR(OIT!#REF!="",OIT!#REF!=""),"",OIT!#REF!-OIT!#REF!)</f>
        <v>#REF!</v>
      </c>
      <c r="N64" s="9" t="e">
        <f>IF(OR(OIT!#REF!="",OIT!#REF!=""),"",OIT!#REF!-OIT!#REF!)</f>
        <v>#REF!</v>
      </c>
      <c r="O64" s="9">
        <f t="shared" si="0"/>
        <v>11494.24324268342</v>
      </c>
      <c r="P64" s="9">
        <f t="shared" si="1"/>
        <v>19996.142073144983</v>
      </c>
      <c r="Q64" s="9">
        <f t="shared" si="2"/>
        <v>8.9641062062164547</v>
      </c>
      <c r="R64" s="9">
        <f t="shared" si="3"/>
        <v>53226.212588532857</v>
      </c>
    </row>
    <row r="65" spans="1:18" ht="15.5">
      <c r="A65" s="7" t="s">
        <v>2</v>
      </c>
      <c r="B65" s="7" t="s">
        <v>3</v>
      </c>
      <c r="C65" s="8">
        <v>2017</v>
      </c>
      <c r="D65" s="9">
        <v>11.344587000000001</v>
      </c>
      <c r="E65" s="9">
        <v>5.2719631195068404</v>
      </c>
      <c r="F65" s="9">
        <v>2141.62</v>
      </c>
      <c r="G65" s="9">
        <v>2.9092075824737602</v>
      </c>
      <c r="H65" s="9">
        <v>107358.171875</v>
      </c>
      <c r="I65" s="9">
        <v>291024.125</v>
      </c>
      <c r="J65" s="9">
        <v>1.10450875759125</v>
      </c>
      <c r="K65" s="9">
        <v>0.49844121932983398</v>
      </c>
      <c r="L65" s="9" t="e">
        <f>IF(OR(OIT!#REF!="",OIT!#REF!=""),"",OIT!#REF!-OIT!#REF!)</f>
        <v>#REF!</v>
      </c>
      <c r="M65" s="9" t="e">
        <f>IF(OR(OIT!#REF!="",OIT!#REF!=""),"",OIT!#REF!-OIT!#REF!)</f>
        <v>#REF!</v>
      </c>
      <c r="N65" s="9" t="e">
        <f>IF(OR(OIT!#REF!="",OIT!#REF!=""),"",OIT!#REF!-OIT!#REF!)</f>
        <v>#REF!</v>
      </c>
      <c r="O65" s="9">
        <f t="shared" si="0"/>
        <v>11290.541655998239</v>
      </c>
      <c r="P65" s="9">
        <f t="shared" si="1"/>
        <v>20363.983859781383</v>
      </c>
      <c r="Q65" s="9">
        <f t="shared" si="2"/>
        <v>9.5086821470575469</v>
      </c>
      <c r="R65" s="9">
        <f t="shared" si="3"/>
        <v>55202.230820465891</v>
      </c>
    </row>
    <row r="66" spans="1:18" ht="15.5">
      <c r="A66" s="7" t="s">
        <v>2</v>
      </c>
      <c r="B66" s="7" t="s">
        <v>3</v>
      </c>
      <c r="C66" s="8">
        <v>2018</v>
      </c>
      <c r="D66" s="9">
        <v>11.508368000000001</v>
      </c>
      <c r="E66" s="9">
        <v>5.4028196334838903</v>
      </c>
      <c r="F66" s="9">
        <v>2078.15</v>
      </c>
      <c r="G66" s="9">
        <v>2.93748831748962</v>
      </c>
      <c r="H66" s="9">
        <v>111892.578125</v>
      </c>
      <c r="I66" s="9">
        <v>307343.34375</v>
      </c>
      <c r="J66" s="9">
        <v>1.1146441698074301</v>
      </c>
      <c r="K66" s="9">
        <v>0.49844121932983398</v>
      </c>
      <c r="L66" s="9" t="e">
        <f>IF(OR(OIT!#REF!="",OIT!#REF!=""),"",OIT!#REF!-OIT!#REF!)</f>
        <v>#REF!</v>
      </c>
      <c r="M66" s="9" t="e">
        <f>IF(OR(OIT!#REF!="",OIT!#REF!=""),"",OIT!#REF!-OIT!#REF!)</f>
        <v>#REF!</v>
      </c>
      <c r="N66" s="9" t="e">
        <f>IF(OR(OIT!#REF!="",OIT!#REF!=""),"",OIT!#REF!-OIT!#REF!)</f>
        <v>#REF!</v>
      </c>
      <c r="O66" s="9">
        <f t="shared" ref="O66:O129" si="4">IFERROR(E66*F66,"")</f>
        <v>11227.869621324548</v>
      </c>
      <c r="P66" s="9">
        <f t="shared" ref="P66:P129" si="5">IFERROR(H66/E66,"")</f>
        <v>20710.033966625037</v>
      </c>
      <c r="Q66" s="9">
        <f t="shared" ref="Q66:Q129" si="6">IFERROR(H66/(E66*F66),"")</f>
        <v>9.9656107435098686</v>
      </c>
      <c r="R66" s="9">
        <f t="shared" ref="R66:R129" si="7">IFERROR(I66/E66,"")</f>
        <v>56885.730896001864</v>
      </c>
    </row>
    <row r="67" spans="1:18" ht="15.5">
      <c r="A67" s="7" t="s">
        <v>2</v>
      </c>
      <c r="B67" s="7" t="s">
        <v>3</v>
      </c>
      <c r="C67" s="8">
        <v>2019</v>
      </c>
      <c r="D67" s="9">
        <v>11.671386</v>
      </c>
      <c r="E67" s="9">
        <v>5.6606984138488796</v>
      </c>
      <c r="F67" s="9">
        <v>2067.69</v>
      </c>
      <c r="G67" s="9">
        <v>2.9660437107086199</v>
      </c>
      <c r="H67" s="9">
        <v>114372.90625</v>
      </c>
      <c r="I67" s="9">
        <v>321108.75</v>
      </c>
      <c r="J67" s="9">
        <v>1.08589339256287</v>
      </c>
      <c r="K67" s="9">
        <v>0.49844121932983398</v>
      </c>
      <c r="L67" s="9" t="e">
        <f>IF(OR(OIT!#REF!="",OIT!#REF!=""),"",OIT!#REF!-OIT!#REF!)</f>
        <v>#REF!</v>
      </c>
      <c r="M67" s="9" t="e">
        <f>IF(OR(OIT!#REF!="",OIT!#REF!=""),"",OIT!#REF!-OIT!#REF!)</f>
        <v>#REF!</v>
      </c>
      <c r="N67" s="9" t="e">
        <f>IF(OR(OIT!#REF!="",OIT!#REF!=""),"",OIT!#REF!-OIT!#REF!)</f>
        <v>#REF!</v>
      </c>
      <c r="O67" s="9">
        <f t="shared" si="4"/>
        <v>11704.569503331189</v>
      </c>
      <c r="P67" s="9">
        <f t="shared" si="5"/>
        <v>20204.734096094409</v>
      </c>
      <c r="Q67" s="9">
        <f t="shared" si="6"/>
        <v>9.7716456993526162</v>
      </c>
      <c r="R67" s="9">
        <f t="shared" si="7"/>
        <v>56725.995014044296</v>
      </c>
    </row>
    <row r="68" spans="1:18" ht="15.5">
      <c r="A68" s="7" t="s">
        <v>2</v>
      </c>
      <c r="B68" s="7" t="s">
        <v>3</v>
      </c>
      <c r="C68" s="8">
        <v>2020</v>
      </c>
      <c r="D68" s="9">
        <v>11.816299000000001</v>
      </c>
      <c r="E68" s="9">
        <v>5.9297308921814</v>
      </c>
      <c r="F68" s="9">
        <v>1874.79</v>
      </c>
      <c r="G68" s="9">
        <v>2.9948770999908398</v>
      </c>
      <c r="H68" s="9">
        <v>104379.140625</v>
      </c>
      <c r="I68" s="9">
        <v>325129.84375</v>
      </c>
      <c r="J68" s="9">
        <v>1.0090081691741899</v>
      </c>
      <c r="K68" s="9">
        <v>0.49844121932983398</v>
      </c>
      <c r="L68" s="9" t="e">
        <f>IF(OR(OIT!#REF!="",OIT!#REF!=""),"",OIT!#REF!-OIT!#REF!)</f>
        <v>#REF!</v>
      </c>
      <c r="M68" s="9" t="e">
        <f>IF(OR(OIT!#REF!="",OIT!#REF!=""),"",OIT!#REF!-OIT!#REF!)</f>
        <v>#REF!</v>
      </c>
      <c r="N68" s="9" t="e">
        <f>IF(OR(OIT!#REF!="",OIT!#REF!=""),"",OIT!#REF!-OIT!#REF!)</f>
        <v>#REF!</v>
      </c>
      <c r="O68" s="9">
        <f t="shared" si="4"/>
        <v>11117.000179352766</v>
      </c>
      <c r="P68" s="9">
        <f t="shared" si="5"/>
        <v>17602.677511491846</v>
      </c>
      <c r="Q68" s="9">
        <f t="shared" si="6"/>
        <v>9.3891462571764546</v>
      </c>
      <c r="R68" s="9">
        <f t="shared" si="7"/>
        <v>54830.45515247537</v>
      </c>
    </row>
    <row r="69" spans="1:18" ht="15.5">
      <c r="A69" s="7" t="s">
        <v>2</v>
      </c>
      <c r="B69" s="7" t="s">
        <v>3</v>
      </c>
      <c r="C69" s="8">
        <v>2021</v>
      </c>
      <c r="D69" s="9">
        <v>11.93736</v>
      </c>
      <c r="E69" s="9">
        <v>6.19126701354981</v>
      </c>
      <c r="F69" s="9">
        <v>1999.71</v>
      </c>
      <c r="G69" s="9">
        <v>3.0245070457458501</v>
      </c>
      <c r="H69" s="9">
        <v>110758.1328125</v>
      </c>
      <c r="I69" s="9">
        <v>332737.75</v>
      </c>
      <c r="J69" s="9">
        <v>1</v>
      </c>
      <c r="K69" s="9">
        <v>0.49844121932983398</v>
      </c>
      <c r="L69" s="9" t="e">
        <f>IF(OR(OIT!#REF!="",OIT!#REF!=""),"",OIT!#REF!-OIT!#REF!)</f>
        <v>#REF!</v>
      </c>
      <c r="M69" s="9" t="e">
        <f>IF(OR(OIT!#REF!="",OIT!#REF!=""),"",OIT!#REF!-OIT!#REF!)</f>
        <v>#REF!</v>
      </c>
      <c r="N69" s="9" t="e">
        <f>IF(OR(OIT!#REF!="",OIT!#REF!=""),"",OIT!#REF!-OIT!#REF!)</f>
        <v>#REF!</v>
      </c>
      <c r="O69" s="9">
        <f t="shared" si="4"/>
        <v>12380.738559665691</v>
      </c>
      <c r="P69" s="9">
        <f t="shared" si="5"/>
        <v>17889.413034537494</v>
      </c>
      <c r="Q69" s="9">
        <f t="shared" si="6"/>
        <v>8.9460036878034792</v>
      </c>
      <c r="R69" s="9">
        <f t="shared" si="7"/>
        <v>53743.078641543238</v>
      </c>
    </row>
    <row r="70" spans="1:18" ht="15.5">
      <c r="A70" s="7" t="s">
        <v>2</v>
      </c>
      <c r="B70" s="7" t="s">
        <v>3</v>
      </c>
      <c r="C70" s="8">
        <v>2022</v>
      </c>
      <c r="D70" s="9">
        <v>12.077154</v>
      </c>
      <c r="E70" s="9">
        <v>6.4531102180481001</v>
      </c>
      <c r="F70" s="9">
        <v>1977.15</v>
      </c>
      <c r="G70" s="9">
        <v>3.05485272407532</v>
      </c>
      <c r="H70" s="9">
        <v>114751.71875</v>
      </c>
      <c r="I70" s="9">
        <v>341971.90625</v>
      </c>
      <c r="J70" s="9">
        <v>1.00246381759644</v>
      </c>
      <c r="K70" s="9">
        <v>0.49844121932983398</v>
      </c>
      <c r="L70" s="9" t="e">
        <f>IF(OR(OIT!#REF!="",OIT!#REF!=""),"",OIT!#REF!-OIT!#REF!)</f>
        <v>#REF!</v>
      </c>
      <c r="M70" s="9" t="e">
        <f>IF(OR(OIT!#REF!="",OIT!#REF!=""),"",OIT!#REF!-OIT!#REF!)</f>
        <v>#REF!</v>
      </c>
      <c r="N70" s="9" t="e">
        <f>IF(OR(OIT!#REF!="",OIT!#REF!=""),"",OIT!#REF!-OIT!#REF!)</f>
        <v>#REF!</v>
      </c>
      <c r="O70" s="9">
        <f t="shared" si="4"/>
        <v>12758.766867613802</v>
      </c>
      <c r="P70" s="9">
        <f t="shared" si="5"/>
        <v>17782.389401789798</v>
      </c>
      <c r="Q70" s="9">
        <f t="shared" si="6"/>
        <v>8.9939505863438782</v>
      </c>
      <c r="R70" s="9">
        <f t="shared" si="7"/>
        <v>52993.346571637776</v>
      </c>
    </row>
    <row r="71" spans="1:18" ht="15.5">
      <c r="A71" s="7" t="s">
        <v>2</v>
      </c>
      <c r="B71" s="7" t="s">
        <v>3</v>
      </c>
      <c r="C71" s="8">
        <v>2023</v>
      </c>
      <c r="D71" s="9">
        <v>12.244159</v>
      </c>
      <c r="E71" s="9">
        <v>6.6261701583862296</v>
      </c>
      <c r="F71" s="9">
        <v>1967.76</v>
      </c>
      <c r="G71" s="9">
        <v>3.0859353542327899</v>
      </c>
      <c r="H71" s="9">
        <v>118288.3203125</v>
      </c>
      <c r="I71" s="9">
        <v>352607.90625</v>
      </c>
      <c r="J71" s="9">
        <v>1.0014626979827901</v>
      </c>
      <c r="K71" s="9">
        <v>0.49844121932983398</v>
      </c>
      <c r="L71" s="9" t="e">
        <f>IF(OR(OIT!#REF!="",OIT!#REF!=""),"",OIT!#REF!-OIT!#REF!)</f>
        <v>#REF!</v>
      </c>
      <c r="M71" s="9" t="e">
        <f>IF(OR(OIT!#REF!="",OIT!#REF!=""),"",OIT!#REF!-OIT!#REF!)</f>
        <v>#REF!</v>
      </c>
      <c r="N71" s="9" t="e">
        <f>IF(OR(OIT!#REF!="",OIT!#REF!=""),"",OIT!#REF!-OIT!#REF!)</f>
        <v>#REF!</v>
      </c>
      <c r="O71" s="9">
        <f t="shared" si="4"/>
        <v>13038.712590866087</v>
      </c>
      <c r="P71" s="9">
        <f t="shared" si="5"/>
        <v>17851.687699687525</v>
      </c>
      <c r="Q71" s="9">
        <f t="shared" si="6"/>
        <v>9.0720858741348156</v>
      </c>
      <c r="R71" s="9">
        <f t="shared" si="7"/>
        <v>53214.435763278962</v>
      </c>
    </row>
    <row r="72" spans="1:18" ht="15.5">
      <c r="A72" s="7" t="s">
        <v>2</v>
      </c>
      <c r="B72" s="7" t="s">
        <v>3</v>
      </c>
      <c r="C72" s="8">
        <v>2024</v>
      </c>
      <c r="D72" s="9"/>
      <c r="E72" s="9"/>
      <c r="F72" s="9"/>
      <c r="G72" s="9"/>
      <c r="H72" s="9"/>
      <c r="I72" s="9"/>
      <c r="J72" s="9"/>
      <c r="K72" s="9"/>
      <c r="L72" s="9" t="e">
        <f>IF(OR(OIT!#REF!="",OIT!#REF!=""),"",OIT!#REF!-OIT!#REF!)</f>
        <v>#REF!</v>
      </c>
      <c r="M72" s="9" t="e">
        <f>IF(OR(OIT!#REF!="",OIT!#REF!=""),"",OIT!#REF!-OIT!#REF!)</f>
        <v>#REF!</v>
      </c>
      <c r="N72" s="9" t="e">
        <f>IF(OR(OIT!#REF!="",OIT!#REF!=""),"",OIT!#REF!-OIT!#REF!)</f>
        <v>#REF!</v>
      </c>
      <c r="O72" s="9">
        <f t="shared" si="4"/>
        <v>0</v>
      </c>
      <c r="P72" s="9" t="str">
        <f t="shared" si="5"/>
        <v/>
      </c>
      <c r="Q72" s="9" t="str">
        <f t="shared" si="6"/>
        <v/>
      </c>
      <c r="R72" s="9" t="str">
        <f t="shared" si="7"/>
        <v/>
      </c>
    </row>
    <row r="73" spans="1:18" ht="15.5">
      <c r="A73" s="7" t="s">
        <v>2</v>
      </c>
      <c r="B73" s="7" t="s">
        <v>3</v>
      </c>
      <c r="C73" s="8">
        <v>2025</v>
      </c>
      <c r="D73" s="9"/>
      <c r="E73" s="9"/>
      <c r="F73" s="9"/>
      <c r="G73" s="9"/>
      <c r="H73" s="9"/>
      <c r="I73" s="9"/>
      <c r="J73" s="9"/>
      <c r="K73" s="9"/>
      <c r="L73" s="9" t="e">
        <f>IF(OR(OIT!#REF!="",OIT!#REF!=""),"",OIT!#REF!-OIT!#REF!)</f>
        <v>#REF!</v>
      </c>
      <c r="M73" s="9" t="e">
        <f>IF(OR(OIT!#REF!="",OIT!#REF!=""),"",OIT!#REF!-OIT!#REF!)</f>
        <v>#REF!</v>
      </c>
      <c r="N73" s="9" t="e">
        <f>IF(OR(OIT!#REF!="",OIT!#REF!=""),"",OIT!#REF!-OIT!#REF!)</f>
        <v>#REF!</v>
      </c>
      <c r="O73" s="9">
        <f t="shared" si="4"/>
        <v>0</v>
      </c>
      <c r="P73" s="9" t="str">
        <f t="shared" si="5"/>
        <v/>
      </c>
      <c r="Q73" s="9" t="str">
        <f t="shared" si="6"/>
        <v/>
      </c>
      <c r="R73" s="9" t="str">
        <f t="shared" si="7"/>
        <v/>
      </c>
    </row>
    <row r="74" spans="1:18" ht="15.5">
      <c r="A74" s="7" t="s">
        <v>4</v>
      </c>
      <c r="B74" s="7" t="s">
        <v>5</v>
      </c>
      <c r="C74" s="8">
        <v>1990</v>
      </c>
      <c r="D74" s="9">
        <v>149.14322300000001</v>
      </c>
      <c r="E74" s="9">
        <v>61.631931304931598</v>
      </c>
      <c r="F74" s="9">
        <v>2175.06</v>
      </c>
      <c r="G74" s="9">
        <v>1.71669137477875</v>
      </c>
      <c r="H74" s="9">
        <v>1864539.25</v>
      </c>
      <c r="I74" s="9">
        <v>6993437</v>
      </c>
      <c r="J74" s="9">
        <v>1.2844204902648899</v>
      </c>
      <c r="K74" s="9">
        <v>0.52569359540939298</v>
      </c>
      <c r="L74" s="9" t="e">
        <f>IF(OR(OIT!#REF!="",OIT!#REF!=""),"",OIT!#REF!-OIT!#REF!)</f>
        <v>#REF!</v>
      </c>
      <c r="M74" s="9" t="e">
        <f>IF(OR(OIT!#REF!="",OIT!#REF!=""),"",OIT!#REF!-OIT!#REF!)</f>
        <v>#REF!</v>
      </c>
      <c r="N74" s="9" t="e">
        <f>IF(OR(OIT!#REF!="",OIT!#REF!=""),"",OIT!#REF!-OIT!#REF!)</f>
        <v>#REF!</v>
      </c>
      <c r="O74" s="9">
        <f t="shared" si="4"/>
        <v>134053.14850410452</v>
      </c>
      <c r="P74" s="9">
        <f t="shared" si="5"/>
        <v>30252.812308849476</v>
      </c>
      <c r="Q74" s="9">
        <f t="shared" si="6"/>
        <v>13.908955297255927</v>
      </c>
      <c r="R74" s="9">
        <f t="shared" si="7"/>
        <v>113471.00199406547</v>
      </c>
    </row>
    <row r="75" spans="1:18" ht="15.5">
      <c r="A75" s="7" t="s">
        <v>4</v>
      </c>
      <c r="B75" s="7" t="s">
        <v>5</v>
      </c>
      <c r="C75" s="8">
        <v>1991</v>
      </c>
      <c r="D75" s="9">
        <v>151.724256</v>
      </c>
      <c r="E75" s="9">
        <v>61.448883056640597</v>
      </c>
      <c r="F75" s="9">
        <v>2180.89</v>
      </c>
      <c r="G75" s="9">
        <v>1.7446271181106601</v>
      </c>
      <c r="H75" s="9">
        <v>1877728.5</v>
      </c>
      <c r="I75" s="9">
        <v>7212156</v>
      </c>
      <c r="J75" s="9">
        <v>1.26557421684265</v>
      </c>
      <c r="K75" s="9">
        <v>0.52569359540939298</v>
      </c>
      <c r="L75" s="9" t="e">
        <f>IF(OR(OIT!#REF!="",OIT!#REF!=""),"",OIT!#REF!-OIT!#REF!)</f>
        <v>#REF!</v>
      </c>
      <c r="M75" s="9" t="e">
        <f>IF(OR(OIT!#REF!="",OIT!#REF!=""),"",OIT!#REF!-OIT!#REF!)</f>
        <v>#REF!</v>
      </c>
      <c r="N75" s="9" t="e">
        <f>IF(OR(OIT!#REF!="",OIT!#REF!=""),"",OIT!#REF!-OIT!#REF!)</f>
        <v>#REF!</v>
      </c>
      <c r="O75" s="9">
        <f t="shared" si="4"/>
        <v>134013.2545693969</v>
      </c>
      <c r="P75" s="9">
        <f t="shared" si="5"/>
        <v>30557.569260765911</v>
      </c>
      <c r="Q75" s="9">
        <f t="shared" si="6"/>
        <v>14.011513309137973</v>
      </c>
      <c r="R75" s="9">
        <f t="shared" si="7"/>
        <v>117368.38232441401</v>
      </c>
    </row>
    <row r="76" spans="1:18" ht="15.5">
      <c r="A76" s="7" t="s">
        <v>4</v>
      </c>
      <c r="B76" s="7" t="s">
        <v>5</v>
      </c>
      <c r="C76" s="8">
        <v>1992</v>
      </c>
      <c r="D76" s="9">
        <v>154.27507900000001</v>
      </c>
      <c r="E76" s="9">
        <v>61.269611358642599</v>
      </c>
      <c r="F76" s="9">
        <v>2185.33</v>
      </c>
      <c r="G76" s="9">
        <v>1.7730175256729099</v>
      </c>
      <c r="H76" s="9">
        <v>1854206.5</v>
      </c>
      <c r="I76" s="9">
        <v>7392581</v>
      </c>
      <c r="J76" s="9">
        <v>1.2257730960845901</v>
      </c>
      <c r="K76" s="9">
        <v>0.52569359540939298</v>
      </c>
      <c r="L76" s="9" t="e">
        <f>IF(OR(OIT!#REF!="",OIT!#REF!=""),"",OIT!#REF!-OIT!#REF!)</f>
        <v>#REF!</v>
      </c>
      <c r="M76" s="9" t="e">
        <f>IF(OR(OIT!#REF!="",OIT!#REF!=""),"",OIT!#REF!-OIT!#REF!)</f>
        <v>#REF!</v>
      </c>
      <c r="N76" s="9" t="e">
        <f>IF(OR(OIT!#REF!="",OIT!#REF!=""),"",OIT!#REF!-OIT!#REF!)</f>
        <v>#REF!</v>
      </c>
      <c r="O76" s="9">
        <f t="shared" si="4"/>
        <v>133894.31979038243</v>
      </c>
      <c r="P76" s="9">
        <f t="shared" si="5"/>
        <v>30263.069389266631</v>
      </c>
      <c r="Q76" s="9">
        <f t="shared" si="6"/>
        <v>13.848283503757617</v>
      </c>
      <c r="R76" s="9">
        <f t="shared" si="7"/>
        <v>120656.56752296689</v>
      </c>
    </row>
    <row r="77" spans="1:18" ht="15.5">
      <c r="A77" s="7" t="s">
        <v>4</v>
      </c>
      <c r="B77" s="7" t="s">
        <v>5</v>
      </c>
      <c r="C77" s="8">
        <v>1993</v>
      </c>
      <c r="D77" s="9">
        <v>156.794577</v>
      </c>
      <c r="E77" s="9">
        <v>61.982177734375</v>
      </c>
      <c r="F77" s="9">
        <v>2157.14</v>
      </c>
      <c r="G77" s="9">
        <v>1.80186975002289</v>
      </c>
      <c r="H77" s="9">
        <v>1937672.125</v>
      </c>
      <c r="I77" s="9">
        <v>7600646.5</v>
      </c>
      <c r="J77" s="9">
        <v>1.2551069259643599</v>
      </c>
      <c r="K77" s="9">
        <v>0.506977438926697</v>
      </c>
      <c r="L77" s="9" t="e">
        <f>IF(OR(OIT!#REF!="",OIT!#REF!=""),"",OIT!#REF!-OIT!#REF!)</f>
        <v>#REF!</v>
      </c>
      <c r="M77" s="9" t="e">
        <f>IF(OR(OIT!#REF!="",OIT!#REF!=""),"",OIT!#REF!-OIT!#REF!)</f>
        <v>#REF!</v>
      </c>
      <c r="N77" s="9" t="e">
        <f>IF(OR(OIT!#REF!="",OIT!#REF!=""),"",OIT!#REF!-OIT!#REF!)</f>
        <v>#REF!</v>
      </c>
      <c r="O77" s="9">
        <f t="shared" si="4"/>
        <v>133704.23487792967</v>
      </c>
      <c r="P77" s="9">
        <f t="shared" si="5"/>
        <v>31261.762587689413</v>
      </c>
      <c r="Q77" s="9">
        <f t="shared" si="6"/>
        <v>14.492227017110347</v>
      </c>
      <c r="R77" s="9">
        <f t="shared" si="7"/>
        <v>122626.32224012226</v>
      </c>
    </row>
    <row r="78" spans="1:18" ht="15.5">
      <c r="A78" s="7" t="s">
        <v>4</v>
      </c>
      <c r="B78" s="7" t="s">
        <v>5</v>
      </c>
      <c r="C78" s="8">
        <v>1994</v>
      </c>
      <c r="D78" s="9">
        <v>159.265006</v>
      </c>
      <c r="E78" s="9">
        <v>62.458419799804702</v>
      </c>
      <c r="F78" s="9">
        <v>2152.89</v>
      </c>
      <c r="G78" s="9">
        <v>1.8311915397644001</v>
      </c>
      <c r="H78" s="9">
        <v>2044520.75</v>
      </c>
      <c r="I78" s="9">
        <v>7878747.5</v>
      </c>
      <c r="J78" s="9">
        <v>1.28627181053162</v>
      </c>
      <c r="K78" s="9">
        <v>0.52347397804260298</v>
      </c>
      <c r="L78" s="9" t="e">
        <f>IF(OR(OIT!#REF!="",OIT!#REF!=""),"",OIT!#REF!-OIT!#REF!)</f>
        <v>#REF!</v>
      </c>
      <c r="M78" s="9" t="e">
        <f>IF(OR(OIT!#REF!="",OIT!#REF!=""),"",OIT!#REF!-OIT!#REF!)</f>
        <v>#REF!</v>
      </c>
      <c r="N78" s="9" t="e">
        <f>IF(OR(OIT!#REF!="",OIT!#REF!=""),"",OIT!#REF!-OIT!#REF!)</f>
        <v>#REF!</v>
      </c>
      <c r="O78" s="9">
        <f t="shared" si="4"/>
        <v>134466.10740280154</v>
      </c>
      <c r="P78" s="9">
        <f t="shared" si="5"/>
        <v>32734.109453188456</v>
      </c>
      <c r="Q78" s="9">
        <f t="shared" si="6"/>
        <v>15.204729202694264</v>
      </c>
      <c r="R78" s="9">
        <f t="shared" si="7"/>
        <v>126143.88140547603</v>
      </c>
    </row>
    <row r="79" spans="1:18" ht="15.5">
      <c r="A79" s="7" t="s">
        <v>4</v>
      </c>
      <c r="B79" s="7" t="s">
        <v>5</v>
      </c>
      <c r="C79" s="8">
        <v>1995</v>
      </c>
      <c r="D79" s="9">
        <v>161.735073</v>
      </c>
      <c r="E79" s="9">
        <v>62.932064056396499</v>
      </c>
      <c r="F79" s="9">
        <v>2148.9499999999998</v>
      </c>
      <c r="G79" s="9">
        <v>1.86099052429199</v>
      </c>
      <c r="H79" s="9">
        <v>2124068.25</v>
      </c>
      <c r="I79" s="9">
        <v>8179733.5</v>
      </c>
      <c r="J79" s="9">
        <v>1.2906804084777801</v>
      </c>
      <c r="K79" s="9">
        <v>0.57201910018920898</v>
      </c>
      <c r="L79" s="9" t="e">
        <f>IF(OR(OIT!#REF!="",OIT!#REF!=""),"",OIT!#REF!-OIT!#REF!)</f>
        <v>#REF!</v>
      </c>
      <c r="M79" s="9" t="e">
        <f>IF(OR(OIT!#REF!="",OIT!#REF!=""),"",OIT!#REF!-OIT!#REF!)</f>
        <v>#REF!</v>
      </c>
      <c r="N79" s="9" t="e">
        <f>IF(OR(OIT!#REF!="",OIT!#REF!=""),"",OIT!#REF!-OIT!#REF!)</f>
        <v>#REF!</v>
      </c>
      <c r="O79" s="9">
        <f t="shared" si="4"/>
        <v>135237.85905399325</v>
      </c>
      <c r="P79" s="9">
        <f t="shared" si="5"/>
        <v>33751.765206628508</v>
      </c>
      <c r="Q79" s="9">
        <f t="shared" si="6"/>
        <v>15.706165898056499</v>
      </c>
      <c r="R79" s="9">
        <f t="shared" si="7"/>
        <v>129977.20037705646</v>
      </c>
    </row>
    <row r="80" spans="1:18" ht="15.5">
      <c r="A80" s="7" t="s">
        <v>4</v>
      </c>
      <c r="B80" s="7" t="s">
        <v>5</v>
      </c>
      <c r="C80" s="8">
        <v>1996</v>
      </c>
      <c r="D80" s="9">
        <v>164.202549</v>
      </c>
      <c r="E80" s="9">
        <v>61.783882141113303</v>
      </c>
      <c r="F80" s="9">
        <v>2179.0500000000002</v>
      </c>
      <c r="G80" s="9">
        <v>1.8964483737945601</v>
      </c>
      <c r="H80" s="9">
        <v>2170986</v>
      </c>
      <c r="I80" s="9">
        <v>8460979</v>
      </c>
      <c r="J80" s="9">
        <v>1.28493392467499</v>
      </c>
      <c r="K80" s="9">
        <v>0.56314194202423096</v>
      </c>
      <c r="L80" s="9" t="e">
        <f>IF(OR(OIT!#REF!="",OIT!#REF!=""),"",OIT!#REF!-OIT!#REF!)</f>
        <v>#REF!</v>
      </c>
      <c r="M80" s="9" t="e">
        <f>IF(OR(OIT!#REF!="",OIT!#REF!=""),"",OIT!#REF!-OIT!#REF!)</f>
        <v>#REF!</v>
      </c>
      <c r="N80" s="9" t="e">
        <f>IF(OR(OIT!#REF!="",OIT!#REF!=""),"",OIT!#REF!-OIT!#REF!)</f>
        <v>#REF!</v>
      </c>
      <c r="O80" s="9">
        <f t="shared" si="4"/>
        <v>134630.16837959294</v>
      </c>
      <c r="P80" s="9">
        <f t="shared" si="5"/>
        <v>35138.387630636513</v>
      </c>
      <c r="Q80" s="9">
        <f t="shared" si="6"/>
        <v>16.125553626872499</v>
      </c>
      <c r="R80" s="9">
        <f t="shared" si="7"/>
        <v>136944.76142944972</v>
      </c>
    </row>
    <row r="81" spans="1:18" ht="15.5">
      <c r="A81" s="7" t="s">
        <v>4</v>
      </c>
      <c r="B81" s="7" t="s">
        <v>5</v>
      </c>
      <c r="C81" s="8">
        <v>1997</v>
      </c>
      <c r="D81" s="9">
        <v>166.66165899999999</v>
      </c>
      <c r="E81" s="9">
        <v>62.7958793640137</v>
      </c>
      <c r="F81" s="9">
        <v>2159.8200000000002</v>
      </c>
      <c r="G81" s="9">
        <v>1.9325817823410001</v>
      </c>
      <c r="H81" s="9">
        <v>2244687.5</v>
      </c>
      <c r="I81" s="9">
        <v>8777883</v>
      </c>
      <c r="J81" s="9">
        <v>1.28410077095032</v>
      </c>
      <c r="K81" s="9">
        <v>0.54019612073898304</v>
      </c>
      <c r="L81" s="9" t="e">
        <f>IF(OR(OIT!#REF!="",OIT!#REF!=""),"",OIT!#REF!-OIT!#REF!)</f>
        <v>#REF!</v>
      </c>
      <c r="M81" s="9" t="e">
        <f>IF(OR(OIT!#REF!="",OIT!#REF!=""),"",OIT!#REF!-OIT!#REF!)</f>
        <v>#REF!</v>
      </c>
      <c r="N81" s="9" t="e">
        <f>IF(OR(OIT!#REF!="",OIT!#REF!=""),"",OIT!#REF!-OIT!#REF!)</f>
        <v>#REF!</v>
      </c>
      <c r="O81" s="9">
        <f t="shared" si="4"/>
        <v>135627.79616798408</v>
      </c>
      <c r="P81" s="9">
        <f t="shared" si="5"/>
        <v>35745.776995781001</v>
      </c>
      <c r="Q81" s="9">
        <f t="shared" si="6"/>
        <v>16.550350027215696</v>
      </c>
      <c r="R81" s="9">
        <f t="shared" si="7"/>
        <v>139784.37898952846</v>
      </c>
    </row>
    <row r="82" spans="1:18" ht="15.5">
      <c r="A82" s="7" t="s">
        <v>4</v>
      </c>
      <c r="B82" s="7" t="s">
        <v>5</v>
      </c>
      <c r="C82" s="8">
        <v>1998</v>
      </c>
      <c r="D82" s="9">
        <v>169.15965499999999</v>
      </c>
      <c r="E82" s="9">
        <v>62.611366271972699</v>
      </c>
      <c r="F82" s="9">
        <v>2158.13</v>
      </c>
      <c r="G82" s="9">
        <v>1.96940386295319</v>
      </c>
      <c r="H82" s="9">
        <v>2252276.75</v>
      </c>
      <c r="I82" s="9">
        <v>9074652</v>
      </c>
      <c r="J82" s="9">
        <v>1.2561662197112999</v>
      </c>
      <c r="K82" s="9">
        <v>0.54677981138229403</v>
      </c>
      <c r="L82" s="9" t="e">
        <f>IF(OR(OIT!#REF!="",OIT!#REF!=""),"",OIT!#REF!-OIT!#REF!)</f>
        <v>#REF!</v>
      </c>
      <c r="M82" s="9" t="e">
        <f>IF(OR(OIT!#REF!="",OIT!#REF!=""),"",OIT!#REF!-OIT!#REF!)</f>
        <v>#REF!</v>
      </c>
      <c r="N82" s="9" t="e">
        <f>IF(OR(OIT!#REF!="",OIT!#REF!=""),"",OIT!#REF!-OIT!#REF!)</f>
        <v>#REF!</v>
      </c>
      <c r="O82" s="9">
        <f t="shared" si="4"/>
        <v>135123.46789253244</v>
      </c>
      <c r="P82" s="9">
        <f t="shared" si="5"/>
        <v>35972.330330830162</v>
      </c>
      <c r="Q82" s="9">
        <f t="shared" si="6"/>
        <v>16.668287049820982</v>
      </c>
      <c r="R82" s="9">
        <f t="shared" si="7"/>
        <v>144936.17597452382</v>
      </c>
    </row>
    <row r="83" spans="1:18" ht="15.5">
      <c r="A83" s="7" t="s">
        <v>4</v>
      </c>
      <c r="B83" s="7" t="s">
        <v>5</v>
      </c>
      <c r="C83" s="8">
        <v>1999</v>
      </c>
      <c r="D83" s="9">
        <v>171.64154300000001</v>
      </c>
      <c r="E83" s="9">
        <v>65.889602661132798</v>
      </c>
      <c r="F83" s="9">
        <v>2129.56</v>
      </c>
      <c r="G83" s="9">
        <v>2.0069272518157999</v>
      </c>
      <c r="H83" s="9">
        <v>2262816</v>
      </c>
      <c r="I83" s="9">
        <v>9293648</v>
      </c>
      <c r="J83" s="9">
        <v>1.2088875770568801</v>
      </c>
      <c r="K83" s="9">
        <v>0.54456913471221902</v>
      </c>
      <c r="L83" s="9" t="e">
        <f>IF(OR(OIT!#REF!="",OIT!#REF!=""),"",OIT!#REF!-OIT!#REF!)</f>
        <v>#REF!</v>
      </c>
      <c r="M83" s="9" t="e">
        <f>IF(OR(OIT!#REF!="",OIT!#REF!=""),"",OIT!#REF!-OIT!#REF!)</f>
        <v>#REF!</v>
      </c>
      <c r="N83" s="9" t="e">
        <f>IF(OR(OIT!#REF!="",OIT!#REF!=""),"",OIT!#REF!-OIT!#REF!)</f>
        <v>#REF!</v>
      </c>
      <c r="O83" s="9">
        <f t="shared" si="4"/>
        <v>140315.86224304195</v>
      </c>
      <c r="P83" s="9">
        <f t="shared" si="5"/>
        <v>34342.535219669771</v>
      </c>
      <c r="Q83" s="9">
        <f t="shared" si="6"/>
        <v>16.126587285481399</v>
      </c>
      <c r="R83" s="9">
        <f t="shared" si="7"/>
        <v>141048.77893704726</v>
      </c>
    </row>
    <row r="84" spans="1:18" ht="15.5">
      <c r="A84" s="7" t="s">
        <v>4</v>
      </c>
      <c r="B84" s="7" t="s">
        <v>5</v>
      </c>
      <c r="C84" s="8">
        <v>2000</v>
      </c>
      <c r="D84" s="9">
        <v>174.018282</v>
      </c>
      <c r="E84" s="9">
        <v>68.130439758300795</v>
      </c>
      <c r="F84" s="9">
        <v>2135.61</v>
      </c>
      <c r="G84" s="9">
        <v>2.04516577720642</v>
      </c>
      <c r="H84" s="9">
        <v>2362107.25</v>
      </c>
      <c r="I84" s="9">
        <v>9537031</v>
      </c>
      <c r="J84" s="9">
        <v>1.20935082435608</v>
      </c>
      <c r="K84" s="9">
        <v>0.53780651092529297</v>
      </c>
      <c r="L84" s="9" t="e">
        <f>IF(OR(OIT!#REF!="",OIT!#REF!=""),"",OIT!#REF!-OIT!#REF!)</f>
        <v>#REF!</v>
      </c>
      <c r="M84" s="9" t="e">
        <f>IF(OR(OIT!#REF!="",OIT!#REF!=""),"",OIT!#REF!-OIT!#REF!)</f>
        <v>#REF!</v>
      </c>
      <c r="N84" s="9" t="e">
        <f>IF(OR(OIT!#REF!="",OIT!#REF!=""),"",OIT!#REF!-OIT!#REF!)</f>
        <v>#REF!</v>
      </c>
      <c r="O84" s="9">
        <f t="shared" si="4"/>
        <v>145500.04845222476</v>
      </c>
      <c r="P84" s="9">
        <f t="shared" si="5"/>
        <v>34670.365527946095</v>
      </c>
      <c r="Q84" s="9">
        <f t="shared" si="6"/>
        <v>16.234408683208123</v>
      </c>
      <c r="R84" s="9">
        <f t="shared" si="7"/>
        <v>139981.93808572972</v>
      </c>
    </row>
    <row r="85" spans="1:18" ht="15.5">
      <c r="A85" s="7" t="s">
        <v>4</v>
      </c>
      <c r="B85" s="7" t="s">
        <v>5</v>
      </c>
      <c r="C85" s="8">
        <v>2001</v>
      </c>
      <c r="D85" s="9">
        <v>176.30120299999999</v>
      </c>
      <c r="E85" s="9">
        <v>68.456398010253906</v>
      </c>
      <c r="F85" s="9">
        <v>2141.2199999999998</v>
      </c>
      <c r="G85" s="9">
        <v>2.0859029293060298</v>
      </c>
      <c r="H85" s="9">
        <v>2394938</v>
      </c>
      <c r="I85" s="9">
        <v>9778965</v>
      </c>
      <c r="J85" s="9">
        <v>1.1931080818176301</v>
      </c>
      <c r="K85" s="9">
        <v>0.54514724016189597</v>
      </c>
      <c r="L85" s="9" t="e">
        <f>IF(OR(OIT!#REF!="",OIT!#REF!=""),"",OIT!#REF!-OIT!#REF!)</f>
        <v>#REF!</v>
      </c>
      <c r="M85" s="9" t="e">
        <f>IF(OR(OIT!#REF!="",OIT!#REF!=""),"",OIT!#REF!-OIT!#REF!)</f>
        <v>#REF!</v>
      </c>
      <c r="N85" s="9" t="e">
        <f>IF(OR(OIT!#REF!="",OIT!#REF!=""),"",OIT!#REF!-OIT!#REF!)</f>
        <v>#REF!</v>
      </c>
      <c r="O85" s="9">
        <f t="shared" si="4"/>
        <v>146580.20854751585</v>
      </c>
      <c r="P85" s="9">
        <f t="shared" si="5"/>
        <v>34984.86729671737</v>
      </c>
      <c r="Q85" s="9">
        <f t="shared" si="6"/>
        <v>16.338754213353777</v>
      </c>
      <c r="R85" s="9">
        <f t="shared" si="7"/>
        <v>142849.5404992713</v>
      </c>
    </row>
    <row r="86" spans="1:18" ht="15.5">
      <c r="A86" s="7" t="s">
        <v>4</v>
      </c>
      <c r="B86" s="7" t="s">
        <v>5</v>
      </c>
      <c r="C86" s="8">
        <v>2002</v>
      </c>
      <c r="D86" s="9">
        <v>178.50348399999999</v>
      </c>
      <c r="E86" s="9">
        <v>71.253646850585895</v>
      </c>
      <c r="F86" s="9">
        <v>2119.19</v>
      </c>
      <c r="G86" s="9">
        <v>2.12745189666748</v>
      </c>
      <c r="H86" s="9">
        <v>2468066.75</v>
      </c>
      <c r="I86" s="9">
        <v>10002563</v>
      </c>
      <c r="J86" s="9">
        <v>1.1849068403244001</v>
      </c>
      <c r="K86" s="9">
        <v>0.53306978940963801</v>
      </c>
      <c r="L86" s="9" t="e">
        <f>IF(OR(OIT!#REF!="",OIT!#REF!=""),"",OIT!#REF!-OIT!#REF!)</f>
        <v>#REF!</v>
      </c>
      <c r="M86" s="9" t="e">
        <f>IF(OR(OIT!#REF!="",OIT!#REF!=""),"",OIT!#REF!-OIT!#REF!)</f>
        <v>#REF!</v>
      </c>
      <c r="N86" s="9" t="e">
        <f>IF(OR(OIT!#REF!="",OIT!#REF!=""),"",OIT!#REF!-OIT!#REF!)</f>
        <v>#REF!</v>
      </c>
      <c r="O86" s="9">
        <f t="shared" si="4"/>
        <v>151000.01586929313</v>
      </c>
      <c r="P86" s="9">
        <f t="shared" si="5"/>
        <v>34637.760438779645</v>
      </c>
      <c r="Q86" s="9">
        <f t="shared" si="6"/>
        <v>16.344811196154968</v>
      </c>
      <c r="R86" s="9">
        <f t="shared" si="7"/>
        <v>140379.66394863551</v>
      </c>
    </row>
    <row r="87" spans="1:18" ht="15.5">
      <c r="A87" s="7" t="s">
        <v>4</v>
      </c>
      <c r="B87" s="7" t="s">
        <v>5</v>
      </c>
      <c r="C87" s="8">
        <v>2003</v>
      </c>
      <c r="D87" s="9">
        <v>180.62268800000001</v>
      </c>
      <c r="E87" s="9">
        <v>72.3045654296875</v>
      </c>
      <c r="F87" s="9">
        <v>2111.86</v>
      </c>
      <c r="G87" s="9">
        <v>2.16982817649841</v>
      </c>
      <c r="H87" s="9">
        <v>2496223</v>
      </c>
      <c r="I87" s="9">
        <v>10191649</v>
      </c>
      <c r="J87" s="9">
        <v>1.1679483652114899</v>
      </c>
      <c r="K87" s="9">
        <v>0.52957761287689198</v>
      </c>
      <c r="L87" s="9" t="e">
        <f>IF(OR(OIT!#REF!="",OIT!#REF!=""),"",OIT!#REF!-OIT!#REF!)</f>
        <v>#REF!</v>
      </c>
      <c r="M87" s="9" t="e">
        <f>IF(OR(OIT!#REF!="",OIT!#REF!=""),"",OIT!#REF!-OIT!#REF!)</f>
        <v>#REF!</v>
      </c>
      <c r="N87" s="9" t="e">
        <f>IF(OR(OIT!#REF!="",OIT!#REF!=""),"",OIT!#REF!-OIT!#REF!)</f>
        <v>#REF!</v>
      </c>
      <c r="O87" s="9">
        <f t="shared" si="4"/>
        <v>152697.11954833986</v>
      </c>
      <c r="P87" s="9">
        <f t="shared" si="5"/>
        <v>34523.725924712868</v>
      </c>
      <c r="Q87" s="9">
        <f t="shared" si="6"/>
        <v>16.347544782662137</v>
      </c>
      <c r="R87" s="9">
        <f t="shared" si="7"/>
        <v>140954.43267563594</v>
      </c>
    </row>
    <row r="88" spans="1:18" ht="15.5">
      <c r="A88" s="7" t="s">
        <v>4</v>
      </c>
      <c r="B88" s="7" t="s">
        <v>5</v>
      </c>
      <c r="C88" s="8">
        <v>2004</v>
      </c>
      <c r="D88" s="9">
        <v>182.67514299999999</v>
      </c>
      <c r="E88" s="9">
        <v>76.159271240234403</v>
      </c>
      <c r="F88" s="9">
        <v>2091.87</v>
      </c>
      <c r="G88" s="9">
        <v>2.2130486965179399</v>
      </c>
      <c r="H88" s="9">
        <v>2640004.75</v>
      </c>
      <c r="I88" s="9">
        <v>10431064</v>
      </c>
      <c r="J88" s="9">
        <v>1.18073678016663</v>
      </c>
      <c r="K88" s="9">
        <v>0.525227069854736</v>
      </c>
      <c r="L88" s="9" t="e">
        <f>IF(OR(OIT!#REF!="",OIT!#REF!=""),"",OIT!#REF!-OIT!#REF!)</f>
        <v>#REF!</v>
      </c>
      <c r="M88" s="9" t="e">
        <f>IF(OR(OIT!#REF!="",OIT!#REF!=""),"",OIT!#REF!-OIT!#REF!)</f>
        <v>#REF!</v>
      </c>
      <c r="N88" s="9" t="e">
        <f>IF(OR(OIT!#REF!="",OIT!#REF!=""),"",OIT!#REF!-OIT!#REF!)</f>
        <v>#REF!</v>
      </c>
      <c r="O88" s="9">
        <f t="shared" si="4"/>
        <v>159315.29472930913</v>
      </c>
      <c r="P88" s="9">
        <f t="shared" si="5"/>
        <v>34664.259610264024</v>
      </c>
      <c r="Q88" s="9">
        <f t="shared" si="6"/>
        <v>16.57094351478057</v>
      </c>
      <c r="R88" s="9">
        <f t="shared" si="7"/>
        <v>136963.81057923441</v>
      </c>
    </row>
    <row r="89" spans="1:18" ht="15.5">
      <c r="A89" s="7" t="s">
        <v>4</v>
      </c>
      <c r="B89" s="7" t="s">
        <v>5</v>
      </c>
      <c r="C89" s="8">
        <v>2005</v>
      </c>
      <c r="D89" s="9">
        <v>184.68810099999999</v>
      </c>
      <c r="E89" s="9">
        <v>78.414764404296903</v>
      </c>
      <c r="F89" s="9">
        <v>2077.9299999999998</v>
      </c>
      <c r="G89" s="9">
        <v>2.25713014602661</v>
      </c>
      <c r="H89" s="9">
        <v>2724541.25</v>
      </c>
      <c r="I89" s="9">
        <v>10671937</v>
      </c>
      <c r="J89" s="9">
        <v>1.1770005226135301</v>
      </c>
      <c r="K89" s="9">
        <v>0.53544569015502896</v>
      </c>
      <c r="L89" s="9" t="e">
        <f>IF(OR(OIT!#REF!="",OIT!#REF!=""),"",OIT!#REF!-OIT!#REF!)</f>
        <v>#REF!</v>
      </c>
      <c r="M89" s="9" t="e">
        <f>IF(OR(OIT!#REF!="",OIT!#REF!=""),"",OIT!#REF!-OIT!#REF!)</f>
        <v>#REF!</v>
      </c>
      <c r="N89" s="9" t="e">
        <f>IF(OR(OIT!#REF!="",OIT!#REF!=""),"",OIT!#REF!-OIT!#REF!)</f>
        <v>#REF!</v>
      </c>
      <c r="O89" s="9">
        <f t="shared" si="4"/>
        <v>162940.39139862065</v>
      </c>
      <c r="P89" s="9">
        <f t="shared" si="5"/>
        <v>34745.258379564846</v>
      </c>
      <c r="Q89" s="9">
        <f t="shared" si="6"/>
        <v>16.721091846002921</v>
      </c>
      <c r="R89" s="9">
        <f t="shared" si="7"/>
        <v>136096.01560462266</v>
      </c>
    </row>
    <row r="90" spans="1:18" ht="15.5">
      <c r="A90" s="7" t="s">
        <v>4</v>
      </c>
      <c r="B90" s="7" t="s">
        <v>5</v>
      </c>
      <c r="C90" s="8">
        <v>2006</v>
      </c>
      <c r="D90" s="9">
        <v>186.65310600000001</v>
      </c>
      <c r="E90" s="9">
        <v>80.879119873046903</v>
      </c>
      <c r="F90" s="9">
        <v>2070.85</v>
      </c>
      <c r="G90" s="9">
        <v>2.2988085746765101</v>
      </c>
      <c r="H90" s="9">
        <v>2832487.25</v>
      </c>
      <c r="I90" s="9">
        <v>10945942</v>
      </c>
      <c r="J90" s="9">
        <v>1.1768944263458301</v>
      </c>
      <c r="K90" s="9">
        <v>0.54047101736068703</v>
      </c>
      <c r="L90" s="9" t="e">
        <f>IF(OR(OIT!#REF!="",OIT!#REF!=""),"",OIT!#REF!-OIT!#REF!)</f>
        <v>#REF!</v>
      </c>
      <c r="M90" s="9" t="e">
        <f>IF(OR(OIT!#REF!="",OIT!#REF!=""),"",OIT!#REF!-OIT!#REF!)</f>
        <v>#REF!</v>
      </c>
      <c r="N90" s="9" t="e">
        <f>IF(OR(OIT!#REF!="",OIT!#REF!=""),"",OIT!#REF!-OIT!#REF!)</f>
        <v>#REF!</v>
      </c>
      <c r="O90" s="9">
        <f t="shared" si="4"/>
        <v>167488.52538909917</v>
      </c>
      <c r="P90" s="9">
        <f t="shared" si="5"/>
        <v>35021.242249495976</v>
      </c>
      <c r="Q90" s="9">
        <f t="shared" si="6"/>
        <v>16.911530168527889</v>
      </c>
      <c r="R90" s="9">
        <f t="shared" si="7"/>
        <v>135337.05630305398</v>
      </c>
    </row>
    <row r="91" spans="1:18" ht="15.5">
      <c r="A91" s="7" t="s">
        <v>4</v>
      </c>
      <c r="B91" s="7" t="s">
        <v>5</v>
      </c>
      <c r="C91" s="8">
        <v>2007</v>
      </c>
      <c r="D91" s="9">
        <v>188.55232000000001</v>
      </c>
      <c r="E91" s="9">
        <v>81.353782653808594</v>
      </c>
      <c r="F91" s="9">
        <v>2066.73</v>
      </c>
      <c r="G91" s="9">
        <v>2.3412563800811799</v>
      </c>
      <c r="H91" s="9">
        <v>3004415.5</v>
      </c>
      <c r="I91" s="9">
        <v>11292221</v>
      </c>
      <c r="J91" s="9">
        <v>1.2118279933929399</v>
      </c>
      <c r="K91" s="9">
        <v>0.54151606559753396</v>
      </c>
      <c r="L91" s="9" t="e">
        <f>IF(OR(OIT!#REF!="",OIT!#REF!=""),"",OIT!#REF!-OIT!#REF!)</f>
        <v>#REF!</v>
      </c>
      <c r="M91" s="9" t="e">
        <f>IF(OR(OIT!#REF!="",OIT!#REF!=""),"",OIT!#REF!-OIT!#REF!)</f>
        <v>#REF!</v>
      </c>
      <c r="N91" s="9" t="e">
        <f>IF(OR(OIT!#REF!="",OIT!#REF!=""),"",OIT!#REF!-OIT!#REF!)</f>
        <v>#REF!</v>
      </c>
      <c r="O91" s="9">
        <f t="shared" si="4"/>
        <v>168136.30322410582</v>
      </c>
      <c r="P91" s="9">
        <f t="shared" si="5"/>
        <v>36930.249608490056</v>
      </c>
      <c r="Q91" s="9">
        <f t="shared" si="6"/>
        <v>17.868928020830037</v>
      </c>
      <c r="R91" s="9">
        <f t="shared" si="7"/>
        <v>138803.88387166595</v>
      </c>
    </row>
    <row r="92" spans="1:18" ht="15.5">
      <c r="A92" s="7" t="s">
        <v>4</v>
      </c>
      <c r="B92" s="7" t="s">
        <v>5</v>
      </c>
      <c r="C92" s="8">
        <v>2008</v>
      </c>
      <c r="D92" s="9">
        <v>190.367302</v>
      </c>
      <c r="E92" s="9">
        <v>82.759956359863295</v>
      </c>
      <c r="F92" s="9">
        <v>2066.66</v>
      </c>
      <c r="G92" s="9">
        <v>2.3844883441925102</v>
      </c>
      <c r="H92" s="9">
        <v>3157466.25</v>
      </c>
      <c r="I92" s="9">
        <v>11717546</v>
      </c>
      <c r="J92" s="9">
        <v>1.22258377075195</v>
      </c>
      <c r="K92" s="9">
        <v>0.54966992139816295</v>
      </c>
      <c r="L92" s="9" t="e">
        <f>IF(OR(OIT!#REF!="",OIT!#REF!=""),"",OIT!#REF!-OIT!#REF!)</f>
        <v>#REF!</v>
      </c>
      <c r="M92" s="9" t="e">
        <f>IF(OR(OIT!#REF!="",OIT!#REF!=""),"",OIT!#REF!-OIT!#REF!)</f>
        <v>#REF!</v>
      </c>
      <c r="N92" s="9" t="e">
        <f>IF(OR(OIT!#REF!="",OIT!#REF!=""),"",OIT!#REF!-OIT!#REF!)</f>
        <v>#REF!</v>
      </c>
      <c r="O92" s="9">
        <f t="shared" si="4"/>
        <v>171036.69141067506</v>
      </c>
      <c r="P92" s="9">
        <f t="shared" si="5"/>
        <v>38152.10143744469</v>
      </c>
      <c r="Q92" s="9">
        <f t="shared" si="6"/>
        <v>18.460753794743542</v>
      </c>
      <c r="R92" s="9">
        <f t="shared" si="7"/>
        <v>141584.72908140323</v>
      </c>
    </row>
    <row r="93" spans="1:18" ht="15.5">
      <c r="A93" s="7" t="s">
        <v>4</v>
      </c>
      <c r="B93" s="7" t="s">
        <v>5</v>
      </c>
      <c r="C93" s="8">
        <v>2009</v>
      </c>
      <c r="D93" s="9">
        <v>192.07995099999999</v>
      </c>
      <c r="E93" s="9">
        <v>83.151428222656307</v>
      </c>
      <c r="F93" s="9">
        <v>2054.3000000000002</v>
      </c>
      <c r="G93" s="9">
        <v>2.4285185337066699</v>
      </c>
      <c r="H93" s="9">
        <v>3153493.75</v>
      </c>
      <c r="I93" s="9">
        <v>12089364</v>
      </c>
      <c r="J93" s="9">
        <v>1.19080650806427</v>
      </c>
      <c r="K93" s="9">
        <v>0.56246703863143899</v>
      </c>
      <c r="L93" s="9" t="e">
        <f>IF(OR(OIT!#REF!="",OIT!#REF!=""),"",OIT!#REF!-OIT!#REF!)</f>
        <v>#REF!</v>
      </c>
      <c r="M93" s="9" t="e">
        <f>IF(OR(OIT!#REF!="",OIT!#REF!=""),"",OIT!#REF!-OIT!#REF!)</f>
        <v>#REF!</v>
      </c>
      <c r="N93" s="9" t="e">
        <f>IF(OR(OIT!#REF!="",OIT!#REF!=""),"",OIT!#REF!-OIT!#REF!)</f>
        <v>#REF!</v>
      </c>
      <c r="O93" s="9">
        <f t="shared" si="4"/>
        <v>170817.97899780286</v>
      </c>
      <c r="P93" s="9">
        <f t="shared" si="5"/>
        <v>37924.709381489207</v>
      </c>
      <c r="Q93" s="9">
        <f t="shared" si="6"/>
        <v>18.461134878785575</v>
      </c>
      <c r="R93" s="9">
        <f t="shared" si="7"/>
        <v>145389.73362704075</v>
      </c>
    </row>
    <row r="94" spans="1:18" ht="15.5">
      <c r="A94" s="7" t="s">
        <v>4</v>
      </c>
      <c r="B94" s="7" t="s">
        <v>5</v>
      </c>
      <c r="C94" s="8">
        <v>2010</v>
      </c>
      <c r="D94" s="9">
        <v>193.70192900000001</v>
      </c>
      <c r="E94" s="9">
        <v>86.353851318359403</v>
      </c>
      <c r="F94" s="9">
        <v>2051.33</v>
      </c>
      <c r="G94" s="9">
        <v>2.4733617305755602</v>
      </c>
      <c r="H94" s="9">
        <v>3390896</v>
      </c>
      <c r="I94" s="9">
        <v>12606681</v>
      </c>
      <c r="J94" s="9">
        <v>1.21533215045929</v>
      </c>
      <c r="K94" s="9">
        <v>0.55245673656463601</v>
      </c>
      <c r="L94" s="9" t="e">
        <f>IF(OR(OIT!#REF!="",OIT!#REF!=""),"",OIT!#REF!-OIT!#REF!)</f>
        <v>#REF!</v>
      </c>
      <c r="M94" s="9" t="e">
        <f>IF(OR(OIT!#REF!="",OIT!#REF!=""),"",OIT!#REF!-OIT!#REF!)</f>
        <v>#REF!</v>
      </c>
      <c r="N94" s="9" t="e">
        <f>IF(OR(OIT!#REF!="",OIT!#REF!=""),"",OIT!#REF!-OIT!#REF!)</f>
        <v>#REF!</v>
      </c>
      <c r="O94" s="9">
        <f t="shared" si="4"/>
        <v>177140.24582489018</v>
      </c>
      <c r="P94" s="9">
        <f t="shared" si="5"/>
        <v>39267.455339065731</v>
      </c>
      <c r="Q94" s="9">
        <f t="shared" si="6"/>
        <v>19.142437023329123</v>
      </c>
      <c r="R94" s="9">
        <f t="shared" si="7"/>
        <v>145988.63637851129</v>
      </c>
    </row>
    <row r="95" spans="1:18" ht="15.5">
      <c r="A95" s="7" t="s">
        <v>4</v>
      </c>
      <c r="B95" s="7" t="s">
        <v>5</v>
      </c>
      <c r="C95" s="8">
        <v>2011</v>
      </c>
      <c r="D95" s="9">
        <v>195.28473399999999</v>
      </c>
      <c r="E95" s="9">
        <v>88.628913879394503</v>
      </c>
      <c r="F95" s="9">
        <v>2047.9</v>
      </c>
      <c r="G95" s="9">
        <v>2.5608959197997998</v>
      </c>
      <c r="H95" s="9">
        <v>3525664.5</v>
      </c>
      <c r="I95" s="9">
        <v>13162274</v>
      </c>
      <c r="J95" s="9">
        <v>1.19660604000092</v>
      </c>
      <c r="K95" s="9">
        <v>0.55701667070388805</v>
      </c>
      <c r="L95" s="9" t="e">
        <f>IF(OR(OIT!#REF!="",OIT!#REF!=""),"",OIT!#REF!-OIT!#REF!)</f>
        <v>#REF!</v>
      </c>
      <c r="M95" s="9" t="e">
        <f>IF(OR(OIT!#REF!="",OIT!#REF!=""),"",OIT!#REF!-OIT!#REF!)</f>
        <v>#REF!</v>
      </c>
      <c r="N95" s="9" t="e">
        <f>IF(OR(OIT!#REF!="",OIT!#REF!=""),"",OIT!#REF!-OIT!#REF!)</f>
        <v>#REF!</v>
      </c>
      <c r="O95" s="9">
        <f t="shared" si="4"/>
        <v>181503.15273361202</v>
      </c>
      <c r="P95" s="9">
        <f t="shared" si="5"/>
        <v>39780.07114921543</v>
      </c>
      <c r="Q95" s="9">
        <f t="shared" si="6"/>
        <v>19.424811342944199</v>
      </c>
      <c r="R95" s="9">
        <f t="shared" si="7"/>
        <v>148509.93229941998</v>
      </c>
    </row>
    <row r="96" spans="1:18" ht="15.5">
      <c r="A96" s="7" t="s">
        <v>4</v>
      </c>
      <c r="B96" s="7" t="s">
        <v>5</v>
      </c>
      <c r="C96" s="8">
        <v>2012</v>
      </c>
      <c r="D96" s="9">
        <v>196.87611100000001</v>
      </c>
      <c r="E96" s="9">
        <v>89.506271362304702</v>
      </c>
      <c r="F96" s="9">
        <v>2032.5</v>
      </c>
      <c r="G96" s="9">
        <v>2.6218743324279798</v>
      </c>
      <c r="H96" s="9">
        <v>3593399</v>
      </c>
      <c r="I96" s="9">
        <v>13695775</v>
      </c>
      <c r="J96" s="9">
        <v>1.1798608303070099</v>
      </c>
      <c r="K96" s="9">
        <v>0.56582051515579201</v>
      </c>
      <c r="L96" s="9" t="e">
        <f>IF(OR(OIT!#REF!="",OIT!#REF!=""),"",OIT!#REF!-OIT!#REF!)</f>
        <v>#REF!</v>
      </c>
      <c r="M96" s="9" t="e">
        <f>IF(OR(OIT!#REF!="",OIT!#REF!=""),"",OIT!#REF!-OIT!#REF!)</f>
        <v>#REF!</v>
      </c>
      <c r="N96" s="9" t="e">
        <f>IF(OR(OIT!#REF!="",OIT!#REF!=""),"",OIT!#REF!-OIT!#REF!)</f>
        <v>#REF!</v>
      </c>
      <c r="O96" s="9">
        <f t="shared" si="4"/>
        <v>181921.49654388431</v>
      </c>
      <c r="P96" s="9">
        <f t="shared" si="5"/>
        <v>40146.896360530882</v>
      </c>
      <c r="Q96" s="9">
        <f t="shared" si="6"/>
        <v>19.752470534086534</v>
      </c>
      <c r="R96" s="9">
        <f t="shared" si="7"/>
        <v>153014.69708823034</v>
      </c>
    </row>
    <row r="97" spans="1:18" ht="15.5">
      <c r="A97" s="7" t="s">
        <v>4</v>
      </c>
      <c r="B97" s="7" t="s">
        <v>5</v>
      </c>
      <c r="C97" s="8">
        <v>2013</v>
      </c>
      <c r="D97" s="9">
        <v>198.47829899999999</v>
      </c>
      <c r="E97" s="9">
        <v>91.148193359375</v>
      </c>
      <c r="F97" s="9">
        <v>2034.74</v>
      </c>
      <c r="G97" s="9">
        <v>2.68430471420288</v>
      </c>
      <c r="H97" s="9">
        <v>3701374</v>
      </c>
      <c r="I97" s="9">
        <v>14268476</v>
      </c>
      <c r="J97" s="9">
        <v>1.1638108491897601</v>
      </c>
      <c r="K97" s="9">
        <v>0.57031404972076405</v>
      </c>
      <c r="L97" s="9" t="e">
        <f>IF(OR(OIT!#REF!="",OIT!#REF!=""),"",OIT!#REF!-OIT!#REF!)</f>
        <v>#REF!</v>
      </c>
      <c r="M97" s="9" t="e">
        <f>IF(OR(OIT!#REF!="",OIT!#REF!=""),"",OIT!#REF!-OIT!#REF!)</f>
        <v>#REF!</v>
      </c>
      <c r="N97" s="9" t="e">
        <f>IF(OR(OIT!#REF!="",OIT!#REF!=""),"",OIT!#REF!-OIT!#REF!)</f>
        <v>#REF!</v>
      </c>
      <c r="O97" s="9">
        <f t="shared" si="4"/>
        <v>185462.8749560547</v>
      </c>
      <c r="P97" s="9">
        <f t="shared" si="5"/>
        <v>40608.308991999314</v>
      </c>
      <c r="Q97" s="9">
        <f t="shared" si="6"/>
        <v>19.957492845277191</v>
      </c>
      <c r="R97" s="9">
        <f t="shared" si="7"/>
        <v>156541.51195013701</v>
      </c>
    </row>
    <row r="98" spans="1:18" ht="15.5">
      <c r="A98" s="7" t="s">
        <v>4</v>
      </c>
      <c r="B98" s="7" t="s">
        <v>5</v>
      </c>
      <c r="C98" s="8">
        <v>2014</v>
      </c>
      <c r="D98" s="9">
        <v>200.085127</v>
      </c>
      <c r="E98" s="9">
        <v>92.833587646484403</v>
      </c>
      <c r="F98" s="9">
        <v>2025.18</v>
      </c>
      <c r="G98" s="9">
        <v>2.7482216358184801</v>
      </c>
      <c r="H98" s="9">
        <v>3720027.5</v>
      </c>
      <c r="I98" s="9">
        <v>14758300</v>
      </c>
      <c r="J98" s="9">
        <v>1.12862420082092</v>
      </c>
      <c r="K98" s="9">
        <v>0.56810361146926902</v>
      </c>
      <c r="L98" s="9" t="e">
        <f>IF(OR(OIT!#REF!="",OIT!#REF!=""),"",OIT!#REF!-OIT!#REF!)</f>
        <v>#REF!</v>
      </c>
      <c r="M98" s="9" t="e">
        <f>IF(OR(OIT!#REF!="",OIT!#REF!=""),"",OIT!#REF!-OIT!#REF!)</f>
        <v>#REF!</v>
      </c>
      <c r="N98" s="9" t="e">
        <f>IF(OR(OIT!#REF!="",OIT!#REF!=""),"",OIT!#REF!-OIT!#REF!)</f>
        <v>#REF!</v>
      </c>
      <c r="O98" s="9">
        <f t="shared" si="4"/>
        <v>188004.72502990728</v>
      </c>
      <c r="P98" s="9">
        <f t="shared" si="5"/>
        <v>40071.999739642473</v>
      </c>
      <c r="Q98" s="9">
        <f t="shared" si="6"/>
        <v>19.786883012691455</v>
      </c>
      <c r="R98" s="9">
        <f t="shared" si="7"/>
        <v>158975.86610786227</v>
      </c>
    </row>
    <row r="99" spans="1:18" ht="15.5">
      <c r="A99" s="7" t="s">
        <v>4</v>
      </c>
      <c r="B99" s="7" t="s">
        <v>5</v>
      </c>
      <c r="C99" s="8">
        <v>2015</v>
      </c>
      <c r="D99" s="9">
        <v>201.675532</v>
      </c>
      <c r="E99" s="9">
        <v>92.447212219238295</v>
      </c>
      <c r="F99" s="9">
        <v>2005.42</v>
      </c>
      <c r="G99" s="9">
        <v>2.81366038322449</v>
      </c>
      <c r="H99" s="9">
        <v>3588124</v>
      </c>
      <c r="I99" s="9">
        <v>15059962</v>
      </c>
      <c r="J99" s="9">
        <v>1.0751385688781701</v>
      </c>
      <c r="K99" s="9">
        <v>0.58119797706604004</v>
      </c>
      <c r="L99" s="9" t="e">
        <f>IF(OR(OIT!#REF!="",OIT!#REF!=""),"",OIT!#REF!-OIT!#REF!)</f>
        <v>#REF!</v>
      </c>
      <c r="M99" s="9" t="e">
        <f>IF(OR(OIT!#REF!="",OIT!#REF!=""),"",OIT!#REF!-OIT!#REF!)</f>
        <v>#REF!</v>
      </c>
      <c r="N99" s="9" t="e">
        <f>IF(OR(OIT!#REF!="",OIT!#REF!=""),"",OIT!#REF!-OIT!#REF!)</f>
        <v>#REF!</v>
      </c>
      <c r="O99" s="9">
        <f t="shared" si="4"/>
        <v>185395.48832870487</v>
      </c>
      <c r="P99" s="9">
        <f t="shared" si="5"/>
        <v>38812.679299520401</v>
      </c>
      <c r="Q99" s="9">
        <f t="shared" si="6"/>
        <v>19.353890606217352</v>
      </c>
      <c r="R99" s="9">
        <f t="shared" si="7"/>
        <v>162903.36548262098</v>
      </c>
    </row>
    <row r="100" spans="1:18" ht="15.5">
      <c r="A100" s="7" t="s">
        <v>4</v>
      </c>
      <c r="B100" s="7" t="s">
        <v>5</v>
      </c>
      <c r="C100" s="8">
        <v>2016</v>
      </c>
      <c r="D100" s="9">
        <v>203.21811400000001</v>
      </c>
      <c r="E100" s="9">
        <v>90.626472473144503</v>
      </c>
      <c r="F100" s="9">
        <v>1998.86</v>
      </c>
      <c r="G100" s="9">
        <v>2.8806574344635001</v>
      </c>
      <c r="H100" s="9">
        <v>3470579.75</v>
      </c>
      <c r="I100" s="9">
        <v>15229873</v>
      </c>
      <c r="J100" s="9">
        <v>1.0378398895263701</v>
      </c>
      <c r="K100" s="9">
        <v>0.58019310235977195</v>
      </c>
      <c r="L100" s="9" t="e">
        <f>IF(OR(OIT!#REF!="",OIT!#REF!=""),"",OIT!#REF!-OIT!#REF!)</f>
        <v>#REF!</v>
      </c>
      <c r="M100" s="9" t="e">
        <f>IF(OR(OIT!#REF!="",OIT!#REF!=""),"",OIT!#REF!-OIT!#REF!)</f>
        <v>#REF!</v>
      </c>
      <c r="N100" s="9" t="e">
        <f>IF(OR(OIT!#REF!="",OIT!#REF!=""),"",OIT!#REF!-OIT!#REF!)</f>
        <v>#REF!</v>
      </c>
      <c r="O100" s="9">
        <f t="shared" si="4"/>
        <v>181149.63076766962</v>
      </c>
      <c r="P100" s="9">
        <f t="shared" si="5"/>
        <v>38295.430190427447</v>
      </c>
      <c r="Q100" s="9">
        <f t="shared" si="6"/>
        <v>19.158635517458677</v>
      </c>
      <c r="R100" s="9">
        <f t="shared" si="7"/>
        <v>168051.04054461676</v>
      </c>
    </row>
    <row r="101" spans="1:18" ht="15.5">
      <c r="A101" s="7" t="s">
        <v>4</v>
      </c>
      <c r="B101" s="7" t="s">
        <v>5</v>
      </c>
      <c r="C101" s="8">
        <v>2017</v>
      </c>
      <c r="D101" s="9">
        <v>204.70344499999999</v>
      </c>
      <c r="E101" s="9">
        <v>90.501403808593807</v>
      </c>
      <c r="F101" s="9">
        <v>1976.01</v>
      </c>
      <c r="G101" s="9">
        <v>2.9492499828338601</v>
      </c>
      <c r="H101" s="9">
        <v>3516491.25</v>
      </c>
      <c r="I101" s="9">
        <v>15382827</v>
      </c>
      <c r="J101" s="9">
        <v>1.04225409030914</v>
      </c>
      <c r="K101" s="9">
        <v>0.57799535989761397</v>
      </c>
      <c r="L101" s="9" t="e">
        <f>IF(OR(OIT!#REF!="",OIT!#REF!=""),"",OIT!#REF!-OIT!#REF!)</f>
        <v>#REF!</v>
      </c>
      <c r="M101" s="9" t="e">
        <f>IF(OR(OIT!#REF!="",OIT!#REF!=""),"",OIT!#REF!-OIT!#REF!)</f>
        <v>#REF!</v>
      </c>
      <c r="N101" s="9" t="e">
        <f>IF(OR(OIT!#REF!="",OIT!#REF!=""),"",OIT!#REF!-OIT!#REF!)</f>
        <v>#REF!</v>
      </c>
      <c r="O101" s="9">
        <f t="shared" si="4"/>
        <v>178831.67893981945</v>
      </c>
      <c r="P101" s="9">
        <f t="shared" si="5"/>
        <v>38855.654188936263</v>
      </c>
      <c r="Q101" s="9">
        <f t="shared" si="6"/>
        <v>19.663693093120106</v>
      </c>
      <c r="R101" s="9">
        <f t="shared" si="7"/>
        <v>169973.35237510738</v>
      </c>
    </row>
    <row r="102" spans="1:18" ht="15.5">
      <c r="A102" s="7" t="s">
        <v>4</v>
      </c>
      <c r="B102" s="7" t="s">
        <v>5</v>
      </c>
      <c r="C102" s="8">
        <v>2018</v>
      </c>
      <c r="D102" s="9">
        <v>206.10726099999999</v>
      </c>
      <c r="E102" s="9">
        <v>92.0909423828125</v>
      </c>
      <c r="F102" s="9">
        <v>1967.04</v>
      </c>
      <c r="G102" s="9">
        <v>3.0194754600524898</v>
      </c>
      <c r="H102" s="9">
        <v>3579213.5</v>
      </c>
      <c r="I102" s="9">
        <v>15590053</v>
      </c>
      <c r="J102" s="9">
        <v>1.03375899791718</v>
      </c>
      <c r="K102" s="9">
        <v>0.57187640666961703</v>
      </c>
      <c r="L102" s="9" t="e">
        <f>IF(OR(OIT!#REF!="",OIT!#REF!=""),"",OIT!#REF!-OIT!#REF!)</f>
        <v>#REF!</v>
      </c>
      <c r="M102" s="9" t="e">
        <f>IF(OR(OIT!#REF!="",OIT!#REF!=""),"",OIT!#REF!-OIT!#REF!)</f>
        <v>#REF!</v>
      </c>
      <c r="N102" s="9" t="e">
        <f>IF(OR(OIT!#REF!="",OIT!#REF!=""),"",OIT!#REF!-OIT!#REF!)</f>
        <v>#REF!</v>
      </c>
      <c r="O102" s="9">
        <f t="shared" si="4"/>
        <v>181146.56730468749</v>
      </c>
      <c r="P102" s="9">
        <f t="shared" si="5"/>
        <v>38866.075288073182</v>
      </c>
      <c r="Q102" s="9">
        <f t="shared" si="6"/>
        <v>19.758660366882822</v>
      </c>
      <c r="R102" s="9">
        <f t="shared" si="7"/>
        <v>169289.75419964502</v>
      </c>
    </row>
    <row r="103" spans="1:18" ht="15.5">
      <c r="A103" s="7" t="s">
        <v>4</v>
      </c>
      <c r="B103" s="7" t="s">
        <v>5</v>
      </c>
      <c r="C103" s="8">
        <v>2019</v>
      </c>
      <c r="D103" s="9">
        <v>207.45545899999999</v>
      </c>
      <c r="E103" s="9">
        <v>94.144027709960895</v>
      </c>
      <c r="F103" s="9">
        <v>1972.91</v>
      </c>
      <c r="G103" s="9">
        <v>3.0913732051849401</v>
      </c>
      <c r="H103" s="9">
        <v>3622908</v>
      </c>
      <c r="I103" s="9">
        <v>15835345</v>
      </c>
      <c r="J103" s="9">
        <v>1.0113675594329801</v>
      </c>
      <c r="K103" s="9">
        <v>0.56970041990280196</v>
      </c>
      <c r="L103" s="9" t="e">
        <f>IF(OR(OIT!#REF!="",OIT!#REF!=""),"",OIT!#REF!-OIT!#REF!)</f>
        <v>#REF!</v>
      </c>
      <c r="M103" s="9" t="e">
        <f>IF(OR(OIT!#REF!="",OIT!#REF!=""),"",OIT!#REF!-OIT!#REF!)</f>
        <v>#REF!</v>
      </c>
      <c r="N103" s="9" t="e">
        <f>IF(OR(OIT!#REF!="",OIT!#REF!=""),"",OIT!#REF!-OIT!#REF!)</f>
        <v>#REF!</v>
      </c>
      <c r="O103" s="9">
        <f t="shared" si="4"/>
        <v>185737.69370925895</v>
      </c>
      <c r="P103" s="9">
        <f t="shared" si="5"/>
        <v>38482.611038922849</v>
      </c>
      <c r="Q103" s="9">
        <f t="shared" si="6"/>
        <v>19.505507620176719</v>
      </c>
      <c r="R103" s="9">
        <f t="shared" si="7"/>
        <v>168203.39415247415</v>
      </c>
    </row>
    <row r="104" spans="1:18" ht="15.5">
      <c r="A104" s="7" t="s">
        <v>4</v>
      </c>
      <c r="B104" s="7" t="s">
        <v>5</v>
      </c>
      <c r="C104" s="8">
        <v>2020</v>
      </c>
      <c r="D104" s="9">
        <v>208.660842</v>
      </c>
      <c r="E104" s="9">
        <v>86.888488769531307</v>
      </c>
      <c r="F104" s="9">
        <v>1836.49</v>
      </c>
      <c r="G104" s="9">
        <v>3.1649830341339098</v>
      </c>
      <c r="H104" s="9">
        <v>3504194</v>
      </c>
      <c r="I104" s="9">
        <v>16064923</v>
      </c>
      <c r="J104" s="9">
        <v>1.0442489385604901</v>
      </c>
      <c r="K104" s="9">
        <v>0.54336071014404297</v>
      </c>
      <c r="L104" s="9" t="e">
        <f>IF(OR(OIT!#REF!="",OIT!#REF!=""),"",OIT!#REF!-OIT!#REF!)</f>
        <v>#REF!</v>
      </c>
      <c r="M104" s="9" t="e">
        <f>IF(OR(OIT!#REF!="",OIT!#REF!=""),"",OIT!#REF!-OIT!#REF!)</f>
        <v>#REF!</v>
      </c>
      <c r="N104" s="9" t="e">
        <f>IF(OR(OIT!#REF!="",OIT!#REF!=""),"",OIT!#REF!-OIT!#REF!)</f>
        <v>#REF!</v>
      </c>
      <c r="O104" s="9">
        <f t="shared" si="4"/>
        <v>159569.84074035654</v>
      </c>
      <c r="P104" s="9">
        <f t="shared" si="5"/>
        <v>40329.784182283947</v>
      </c>
      <c r="Q104" s="9">
        <f t="shared" si="6"/>
        <v>21.960252537331513</v>
      </c>
      <c r="R104" s="9">
        <f t="shared" si="7"/>
        <v>184891.26957440414</v>
      </c>
    </row>
    <row r="105" spans="1:18" ht="15.5">
      <c r="A105" s="7" t="s">
        <v>4</v>
      </c>
      <c r="B105" s="7" t="s">
        <v>5</v>
      </c>
      <c r="C105" s="8">
        <v>2021</v>
      </c>
      <c r="D105" s="9">
        <v>209.55029400000001</v>
      </c>
      <c r="E105" s="9">
        <v>91.202194213867202</v>
      </c>
      <c r="F105" s="9">
        <v>1990.65</v>
      </c>
      <c r="G105" s="9">
        <v>3.2265806198120099</v>
      </c>
      <c r="H105" s="9">
        <v>3671084.75</v>
      </c>
      <c r="I105" s="9">
        <v>16418747</v>
      </c>
      <c r="J105" s="9">
        <v>1</v>
      </c>
      <c r="K105" s="9">
        <v>0.51141428947448697</v>
      </c>
      <c r="L105" s="9" t="e">
        <f>IF(OR(OIT!#REF!="",OIT!#REF!=""),"",OIT!#REF!-OIT!#REF!)</f>
        <v>#REF!</v>
      </c>
      <c r="M105" s="9" t="e">
        <f>IF(OR(OIT!#REF!="",OIT!#REF!=""),"",OIT!#REF!-OIT!#REF!)</f>
        <v>#REF!</v>
      </c>
      <c r="N105" s="9" t="e">
        <f>IF(OR(OIT!#REF!="",OIT!#REF!=""),"",OIT!#REF!-OIT!#REF!)</f>
        <v>#REF!</v>
      </c>
      <c r="O105" s="9">
        <f t="shared" si="4"/>
        <v>181551.64791183476</v>
      </c>
      <c r="P105" s="9">
        <f t="shared" si="5"/>
        <v>40252.153817608647</v>
      </c>
      <c r="Q105" s="9">
        <f t="shared" si="6"/>
        <v>20.220608252384217</v>
      </c>
      <c r="R105" s="9">
        <f t="shared" si="7"/>
        <v>180025.78930829655</v>
      </c>
    </row>
    <row r="106" spans="1:18" ht="15.5">
      <c r="A106" s="7" t="s">
        <v>4</v>
      </c>
      <c r="B106" s="7" t="s">
        <v>5</v>
      </c>
      <c r="C106" s="8">
        <v>2022</v>
      </c>
      <c r="D106" s="9">
        <v>210.30641499999999</v>
      </c>
      <c r="E106" s="9">
        <v>97.934524536132798</v>
      </c>
      <c r="F106" s="9">
        <v>1999.69</v>
      </c>
      <c r="G106" s="9">
        <v>3.29099345207214</v>
      </c>
      <c r="H106" s="9">
        <v>3781830.25</v>
      </c>
      <c r="I106" s="9">
        <v>16772648</v>
      </c>
      <c r="J106" s="9">
        <v>0.96975225210189797</v>
      </c>
      <c r="K106" s="9">
        <v>0.51141428947448697</v>
      </c>
      <c r="L106" s="9" t="e">
        <f>IF(OR(OIT!#REF!="",OIT!#REF!=""),"",OIT!#REF!-OIT!#REF!)</f>
        <v>#REF!</v>
      </c>
      <c r="M106" s="9" t="e">
        <f>IF(OR(OIT!#REF!="",OIT!#REF!=""),"",OIT!#REF!-OIT!#REF!)</f>
        <v>#REF!</v>
      </c>
      <c r="N106" s="9" t="e">
        <f>IF(OR(OIT!#REF!="",OIT!#REF!=""),"",OIT!#REF!-OIT!#REF!)</f>
        <v>#REF!</v>
      </c>
      <c r="O106" s="9">
        <f t="shared" si="4"/>
        <v>195838.68936965941</v>
      </c>
      <c r="P106" s="9">
        <f t="shared" si="5"/>
        <v>38615.904533285393</v>
      </c>
      <c r="Q106" s="9">
        <f t="shared" si="6"/>
        <v>19.310945463189491</v>
      </c>
      <c r="R106" s="9">
        <f t="shared" si="7"/>
        <v>171263.89370289695</v>
      </c>
    </row>
    <row r="107" spans="1:18" ht="15.5">
      <c r="A107" s="7" t="s">
        <v>4</v>
      </c>
      <c r="B107" s="7" t="s">
        <v>5</v>
      </c>
      <c r="C107" s="8">
        <v>2023</v>
      </c>
      <c r="D107" s="9">
        <v>211.14072899999999</v>
      </c>
      <c r="E107" s="9">
        <v>99.297546386718807</v>
      </c>
      <c r="F107" s="9">
        <v>1993.72</v>
      </c>
      <c r="G107" s="9">
        <v>3.3583843708038299</v>
      </c>
      <c r="H107" s="9">
        <v>3904424</v>
      </c>
      <c r="I107" s="9">
        <v>17073944</v>
      </c>
      <c r="J107" s="9">
        <v>0.97675275802612305</v>
      </c>
      <c r="K107" s="9">
        <v>0.51141428947448697</v>
      </c>
      <c r="L107" s="9" t="e">
        <f>IF(OR(OIT!#REF!="",OIT!#REF!=""),"",OIT!#REF!-OIT!#REF!)</f>
        <v>#REF!</v>
      </c>
      <c r="M107" s="9" t="e">
        <f>IF(OR(OIT!#REF!="",OIT!#REF!=""),"",OIT!#REF!-OIT!#REF!)</f>
        <v>#REF!</v>
      </c>
      <c r="N107" s="9" t="e">
        <f>IF(OR(OIT!#REF!="",OIT!#REF!=""),"",OIT!#REF!-OIT!#REF!)</f>
        <v>#REF!</v>
      </c>
      <c r="O107" s="9">
        <f t="shared" si="4"/>
        <v>197971.50418212902</v>
      </c>
      <c r="P107" s="9">
        <f t="shared" si="5"/>
        <v>39320.447907081645</v>
      </c>
      <c r="Q107" s="9">
        <f t="shared" si="6"/>
        <v>19.722151509279961</v>
      </c>
      <c r="R107" s="9">
        <f t="shared" si="7"/>
        <v>171947.2899512013</v>
      </c>
    </row>
    <row r="108" spans="1:18" ht="15.5">
      <c r="A108" s="7" t="s">
        <v>4</v>
      </c>
      <c r="B108" s="7" t="s">
        <v>5</v>
      </c>
      <c r="C108" s="8">
        <v>2024</v>
      </c>
      <c r="D108" s="9"/>
      <c r="E108" s="9"/>
      <c r="F108" s="9"/>
      <c r="G108" s="9"/>
      <c r="H108" s="9"/>
      <c r="I108" s="9"/>
      <c r="J108" s="9"/>
      <c r="K108" s="9"/>
      <c r="L108" s="9" t="e">
        <f>IF(OR(OIT!#REF!="",OIT!#REF!=""),"",OIT!#REF!-OIT!#REF!)</f>
        <v>#REF!</v>
      </c>
      <c r="M108" s="9" t="e">
        <f>IF(OR(OIT!#REF!="",OIT!#REF!=""),"",OIT!#REF!-OIT!#REF!)</f>
        <v>#REF!</v>
      </c>
      <c r="N108" s="9" t="e">
        <f>IF(OR(OIT!#REF!="",OIT!#REF!=""),"",OIT!#REF!-OIT!#REF!)</f>
        <v>#REF!</v>
      </c>
      <c r="O108" s="9">
        <f t="shared" si="4"/>
        <v>0</v>
      </c>
      <c r="P108" s="9" t="str">
        <f t="shared" si="5"/>
        <v/>
      </c>
      <c r="Q108" s="9" t="str">
        <f t="shared" si="6"/>
        <v/>
      </c>
      <c r="R108" s="9" t="str">
        <f t="shared" si="7"/>
        <v/>
      </c>
    </row>
    <row r="109" spans="1:18" ht="15.5">
      <c r="A109" s="7" t="s">
        <v>4</v>
      </c>
      <c r="B109" s="7" t="s">
        <v>5</v>
      </c>
      <c r="C109" s="8">
        <v>2025</v>
      </c>
      <c r="D109" s="9"/>
      <c r="E109" s="9"/>
      <c r="F109" s="9"/>
      <c r="G109" s="9"/>
      <c r="H109" s="9"/>
      <c r="I109" s="9"/>
      <c r="J109" s="9"/>
      <c r="K109" s="9"/>
      <c r="L109" s="9" t="e">
        <f>IF(OR(OIT!#REF!="",OIT!#REF!=""),"",OIT!#REF!-OIT!#REF!)</f>
        <v>#REF!</v>
      </c>
      <c r="M109" s="9" t="e">
        <f>IF(OR(OIT!#REF!="",OIT!#REF!=""),"",OIT!#REF!-OIT!#REF!)</f>
        <v>#REF!</v>
      </c>
      <c r="N109" s="9" t="e">
        <f>IF(OR(OIT!#REF!="",OIT!#REF!=""),"",OIT!#REF!-OIT!#REF!)</f>
        <v>#REF!</v>
      </c>
      <c r="O109" s="9">
        <f t="shared" si="4"/>
        <v>0</v>
      </c>
      <c r="P109" s="9" t="str">
        <f t="shared" si="5"/>
        <v/>
      </c>
      <c r="Q109" s="9" t="str">
        <f t="shared" si="6"/>
        <v/>
      </c>
      <c r="R109" s="9" t="str">
        <f t="shared" si="7"/>
        <v/>
      </c>
    </row>
    <row r="110" spans="1:18" ht="15.5">
      <c r="A110" s="7" t="s">
        <v>6</v>
      </c>
      <c r="B110" s="7" t="s">
        <v>7</v>
      </c>
      <c r="C110" s="8">
        <v>1990</v>
      </c>
      <c r="D110" s="9">
        <v>13.437175999999999</v>
      </c>
      <c r="E110" s="9">
        <v>4.3225889205932599</v>
      </c>
      <c r="F110" s="9">
        <v>2422</v>
      </c>
      <c r="G110" s="9">
        <v>2.6350281238555899</v>
      </c>
      <c r="H110" s="9">
        <v>126898.3515625</v>
      </c>
      <c r="I110" s="9">
        <v>361306.65625</v>
      </c>
      <c r="J110" s="9">
        <v>0.89716476202011097</v>
      </c>
      <c r="K110" s="9">
        <v>0.4231096804142</v>
      </c>
      <c r="L110" s="9" t="e">
        <f>IF(OR(OIT!#REF!="",OIT!#REF!=""),"",OIT!#REF!-OIT!#REF!)</f>
        <v>#REF!</v>
      </c>
      <c r="M110" s="9" t="e">
        <f>IF(OR(OIT!#REF!="",OIT!#REF!=""),"",OIT!#REF!-OIT!#REF!)</f>
        <v>#REF!</v>
      </c>
      <c r="N110" s="9" t="e">
        <f>IF(OR(OIT!#REF!="",OIT!#REF!=""),"",OIT!#REF!-OIT!#REF!)</f>
        <v>#REF!</v>
      </c>
      <c r="O110" s="9">
        <f t="shared" si="4"/>
        <v>10469.310365676876</v>
      </c>
      <c r="P110" s="9">
        <f t="shared" si="5"/>
        <v>29357.025128608264</v>
      </c>
      <c r="Q110" s="9">
        <f t="shared" si="6"/>
        <v>12.120984776469141</v>
      </c>
      <c r="R110" s="9">
        <f t="shared" si="7"/>
        <v>83585.708214976854</v>
      </c>
    </row>
    <row r="111" spans="1:18" ht="15.5">
      <c r="A111" s="7" t="s">
        <v>6</v>
      </c>
      <c r="B111" s="7" t="s">
        <v>7</v>
      </c>
      <c r="C111" s="8">
        <v>1991</v>
      </c>
      <c r="D111" s="9">
        <v>13.662490999999999</v>
      </c>
      <c r="E111" s="9">
        <v>4.4169583320617702</v>
      </c>
      <c r="F111" s="9">
        <v>2419</v>
      </c>
      <c r="G111" s="9">
        <v>2.6498117446899401</v>
      </c>
      <c r="H111" s="9">
        <v>137012.03125</v>
      </c>
      <c r="I111" s="9">
        <v>374080.5</v>
      </c>
      <c r="J111" s="9">
        <v>0.93224757909774802</v>
      </c>
      <c r="K111" s="9">
        <v>0.432725489139557</v>
      </c>
      <c r="L111" s="9" t="e">
        <f>IF(OR(OIT!#REF!="",OIT!#REF!=""),"",OIT!#REF!-OIT!#REF!)</f>
        <v>#REF!</v>
      </c>
      <c r="M111" s="9" t="e">
        <f>IF(OR(OIT!#REF!="",OIT!#REF!=""),"",OIT!#REF!-OIT!#REF!)</f>
        <v>#REF!</v>
      </c>
      <c r="N111" s="9" t="e">
        <f>IF(OR(OIT!#REF!="",OIT!#REF!=""),"",OIT!#REF!-OIT!#REF!)</f>
        <v>#REF!</v>
      </c>
      <c r="O111" s="9">
        <f t="shared" si="4"/>
        <v>10684.622205257423</v>
      </c>
      <c r="P111" s="9">
        <f t="shared" si="5"/>
        <v>31019.543529640865</v>
      </c>
      <c r="Q111" s="9">
        <f t="shared" si="6"/>
        <v>12.823292075089237</v>
      </c>
      <c r="R111" s="9">
        <f t="shared" si="7"/>
        <v>84691.878862571204</v>
      </c>
    </row>
    <row r="112" spans="1:18" ht="15.5">
      <c r="A112" s="7" t="s">
        <v>6</v>
      </c>
      <c r="B112" s="7" t="s">
        <v>7</v>
      </c>
      <c r="C112" s="8">
        <v>1992</v>
      </c>
      <c r="D112" s="9">
        <v>13.884577</v>
      </c>
      <c r="E112" s="9">
        <v>4.6216664314270002</v>
      </c>
      <c r="F112" s="9">
        <v>2415</v>
      </c>
      <c r="G112" s="9">
        <v>2.6646780967712398</v>
      </c>
      <c r="H112" s="9">
        <v>153834.390625</v>
      </c>
      <c r="I112" s="9">
        <v>391429.8125</v>
      </c>
      <c r="J112" s="9">
        <v>0.99034166336059604</v>
      </c>
      <c r="K112" s="9">
        <v>0.44714295864105202</v>
      </c>
      <c r="L112" s="9" t="e">
        <f>IF(OR(OIT!#REF!="",OIT!#REF!=""),"",OIT!#REF!-OIT!#REF!)</f>
        <v>#REF!</v>
      </c>
      <c r="M112" s="9" t="e">
        <f>IF(OR(OIT!#REF!="",OIT!#REF!=""),"",OIT!#REF!-OIT!#REF!)</f>
        <v>#REF!</v>
      </c>
      <c r="N112" s="9" t="e">
        <f>IF(OR(OIT!#REF!="",OIT!#REF!=""),"",OIT!#REF!-OIT!#REF!)</f>
        <v>#REF!</v>
      </c>
      <c r="O112" s="9">
        <f t="shared" si="4"/>
        <v>11161.324431896206</v>
      </c>
      <c r="P112" s="9">
        <f t="shared" si="5"/>
        <v>33285.481093775437</v>
      </c>
      <c r="Q112" s="9">
        <f t="shared" si="6"/>
        <v>13.782807906325232</v>
      </c>
      <c r="R112" s="9">
        <f t="shared" si="7"/>
        <v>84694.518375083353</v>
      </c>
    </row>
    <row r="113" spans="1:18" ht="15.5">
      <c r="A113" s="7" t="s">
        <v>6</v>
      </c>
      <c r="B113" s="7" t="s">
        <v>7</v>
      </c>
      <c r="C113" s="8">
        <v>1993</v>
      </c>
      <c r="D113" s="9">
        <v>14.102276</v>
      </c>
      <c r="E113" s="9">
        <v>4.69417428970337</v>
      </c>
      <c r="F113" s="9">
        <v>2389</v>
      </c>
      <c r="G113" s="9">
        <v>2.6796278953552202</v>
      </c>
      <c r="H113" s="9">
        <v>164581.671875</v>
      </c>
      <c r="I113" s="9">
        <v>413491.375</v>
      </c>
      <c r="J113" s="9">
        <v>1.0171704292297401</v>
      </c>
      <c r="K113" s="9">
        <v>0.46314978599548301</v>
      </c>
      <c r="L113" s="9" t="e">
        <f>IF(OR(OIT!#REF!="",OIT!#REF!=""),"",OIT!#REF!-OIT!#REF!)</f>
        <v>#REF!</v>
      </c>
      <c r="M113" s="9" t="e">
        <f>IF(OR(OIT!#REF!="",OIT!#REF!=""),"",OIT!#REF!-OIT!#REF!)</f>
        <v>#REF!</v>
      </c>
      <c r="N113" s="9" t="e">
        <f>IF(OR(OIT!#REF!="",OIT!#REF!=""),"",OIT!#REF!-OIT!#REF!)</f>
        <v>#REF!</v>
      </c>
      <c r="O113" s="9">
        <f t="shared" si="4"/>
        <v>11214.382378101351</v>
      </c>
      <c r="P113" s="9">
        <f t="shared" si="5"/>
        <v>35060.835349894965</v>
      </c>
      <c r="Q113" s="9">
        <f t="shared" si="6"/>
        <v>14.675946148972359</v>
      </c>
      <c r="R113" s="9">
        <f t="shared" si="7"/>
        <v>88086.072114320443</v>
      </c>
    </row>
    <row r="114" spans="1:18" ht="15.5">
      <c r="A114" s="7" t="s">
        <v>6</v>
      </c>
      <c r="B114" s="7" t="s">
        <v>7</v>
      </c>
      <c r="C114" s="8">
        <v>1994</v>
      </c>
      <c r="D114" s="9">
        <v>14.316255999999999</v>
      </c>
      <c r="E114" s="9">
        <v>4.7314248085021999</v>
      </c>
      <c r="F114" s="9">
        <v>2364</v>
      </c>
      <c r="G114" s="9">
        <v>2.6946616172790501</v>
      </c>
      <c r="H114" s="9">
        <v>173976.203125</v>
      </c>
      <c r="I114" s="9">
        <v>436030</v>
      </c>
      <c r="J114" s="9">
        <v>1.0347540378570601</v>
      </c>
      <c r="K114" s="9">
        <v>0.45660868287086498</v>
      </c>
      <c r="L114" s="9" t="e">
        <f>IF(OR(OIT!#REF!="",OIT!#REF!=""),"",OIT!#REF!-OIT!#REF!)</f>
        <v>#REF!</v>
      </c>
      <c r="M114" s="9" t="e">
        <f>IF(OR(OIT!#REF!="",OIT!#REF!=""),"",OIT!#REF!-OIT!#REF!)</f>
        <v>#REF!</v>
      </c>
      <c r="N114" s="9" t="e">
        <f>IF(OR(OIT!#REF!="",OIT!#REF!=""),"",OIT!#REF!-OIT!#REF!)</f>
        <v>#REF!</v>
      </c>
      <c r="O114" s="9">
        <f t="shared" si="4"/>
        <v>11185.0882472992</v>
      </c>
      <c r="P114" s="9">
        <f t="shared" si="5"/>
        <v>36770.362029714815</v>
      </c>
      <c r="Q114" s="9">
        <f t="shared" si="6"/>
        <v>15.55429865893182</v>
      </c>
      <c r="R114" s="9">
        <f t="shared" si="7"/>
        <v>92156.17232603376</v>
      </c>
    </row>
    <row r="115" spans="1:18" ht="15.5">
      <c r="A115" s="7" t="s">
        <v>6</v>
      </c>
      <c r="B115" s="7" t="s">
        <v>7</v>
      </c>
      <c r="C115" s="8">
        <v>1995</v>
      </c>
      <c r="D115" s="9">
        <v>14.527381</v>
      </c>
      <c r="E115" s="9">
        <v>4.9200634956359899</v>
      </c>
      <c r="F115" s="9">
        <v>2338</v>
      </c>
      <c r="G115" s="9">
        <v>2.7097797393798801</v>
      </c>
      <c r="H115" s="9">
        <v>192465.65625</v>
      </c>
      <c r="I115" s="9">
        <v>464971.75</v>
      </c>
      <c r="J115" s="9">
        <v>1.07660448551178</v>
      </c>
      <c r="K115" s="9">
        <v>0.44534143805503801</v>
      </c>
      <c r="L115" s="9" t="e">
        <f>IF(OR(OIT!#REF!="",OIT!#REF!=""),"",OIT!#REF!-OIT!#REF!)</f>
        <v>#REF!</v>
      </c>
      <c r="M115" s="9" t="e">
        <f>IF(OR(OIT!#REF!="",OIT!#REF!=""),"",OIT!#REF!-OIT!#REF!)</f>
        <v>#REF!</v>
      </c>
      <c r="N115" s="9" t="e">
        <f>IF(OR(OIT!#REF!="",OIT!#REF!=""),"",OIT!#REF!-OIT!#REF!)</f>
        <v>#REF!</v>
      </c>
      <c r="O115" s="9">
        <f t="shared" si="4"/>
        <v>11503.108452796945</v>
      </c>
      <c r="P115" s="9">
        <f t="shared" si="5"/>
        <v>39118.530974389592</v>
      </c>
      <c r="Q115" s="9">
        <f t="shared" si="6"/>
        <v>16.731621460389047</v>
      </c>
      <c r="R115" s="9">
        <f t="shared" si="7"/>
        <v>94505.233603676417</v>
      </c>
    </row>
    <row r="116" spans="1:18" ht="15.5">
      <c r="A116" s="7" t="s">
        <v>6</v>
      </c>
      <c r="B116" s="7" t="s">
        <v>7</v>
      </c>
      <c r="C116" s="8">
        <v>1996</v>
      </c>
      <c r="D116" s="9">
        <v>14.734045999999999</v>
      </c>
      <c r="E116" s="9">
        <v>5.1144251823425302</v>
      </c>
      <c r="F116" s="9">
        <v>2313</v>
      </c>
      <c r="G116" s="9">
        <v>2.7249827384948699</v>
      </c>
      <c r="H116" s="9">
        <v>206734.09375</v>
      </c>
      <c r="I116" s="9">
        <v>495932.5</v>
      </c>
      <c r="J116" s="9">
        <v>1.0912224054336499</v>
      </c>
      <c r="K116" s="9">
        <v>0.47146099805831898</v>
      </c>
      <c r="L116" s="9" t="e">
        <f>IF(OR(OIT!#REF!="",OIT!#REF!=""),"",OIT!#REF!-OIT!#REF!)</f>
        <v>#REF!</v>
      </c>
      <c r="M116" s="9" t="e">
        <f>IF(OR(OIT!#REF!="",OIT!#REF!=""),"",OIT!#REF!-OIT!#REF!)</f>
        <v>#REF!</v>
      </c>
      <c r="N116" s="9" t="e">
        <f>IF(OR(OIT!#REF!="",OIT!#REF!=""),"",OIT!#REF!-OIT!#REF!)</f>
        <v>#REF!</v>
      </c>
      <c r="O116" s="9">
        <f t="shared" si="4"/>
        <v>11829.665446758272</v>
      </c>
      <c r="P116" s="9">
        <f t="shared" si="5"/>
        <v>40421.765179740258</v>
      </c>
      <c r="Q116" s="9">
        <f t="shared" si="6"/>
        <v>17.475903666122029</v>
      </c>
      <c r="R116" s="9">
        <f t="shared" si="7"/>
        <v>96967.397570346497</v>
      </c>
    </row>
    <row r="117" spans="1:18" ht="15.5">
      <c r="A117" s="7" t="s">
        <v>6</v>
      </c>
      <c r="B117" s="7" t="s">
        <v>7</v>
      </c>
      <c r="C117" s="8">
        <v>1997</v>
      </c>
      <c r="D117" s="9">
        <v>14.932434000000001</v>
      </c>
      <c r="E117" s="9">
        <v>5.2657003402709996</v>
      </c>
      <c r="F117" s="9">
        <v>2256</v>
      </c>
      <c r="G117" s="9">
        <v>2.7402708530425999</v>
      </c>
      <c r="H117" s="9">
        <v>222015.34375</v>
      </c>
      <c r="I117" s="9">
        <v>531373.5625</v>
      </c>
      <c r="J117" s="9">
        <v>1.1176006793975799</v>
      </c>
      <c r="K117" s="9">
        <v>0.47486552596092202</v>
      </c>
      <c r="L117" s="9" t="e">
        <f>IF(OR(OIT!#REF!="",OIT!#REF!=""),"",OIT!#REF!-OIT!#REF!)</f>
        <v>#REF!</v>
      </c>
      <c r="M117" s="9" t="e">
        <f>IF(OR(OIT!#REF!="",OIT!#REF!=""),"",OIT!#REF!-OIT!#REF!)</f>
        <v>#REF!</v>
      </c>
      <c r="N117" s="9" t="e">
        <f>IF(OR(OIT!#REF!="",OIT!#REF!=""),"",OIT!#REF!-OIT!#REF!)</f>
        <v>#REF!</v>
      </c>
      <c r="O117" s="9">
        <f t="shared" si="4"/>
        <v>11879.419967651374</v>
      </c>
      <c r="P117" s="9">
        <f t="shared" si="5"/>
        <v>42162.548075907784</v>
      </c>
      <c r="Q117" s="9">
        <f t="shared" si="6"/>
        <v>18.689072728682529</v>
      </c>
      <c r="R117" s="9">
        <f t="shared" si="7"/>
        <v>100912.22974390769</v>
      </c>
    </row>
    <row r="118" spans="1:18" ht="15.5">
      <c r="A118" s="7" t="s">
        <v>6</v>
      </c>
      <c r="B118" s="7" t="s">
        <v>7</v>
      </c>
      <c r="C118" s="8">
        <v>1998</v>
      </c>
      <c r="D118" s="9">
        <v>15.127799</v>
      </c>
      <c r="E118" s="9">
        <v>5.3858447074890101</v>
      </c>
      <c r="F118" s="9">
        <v>2299</v>
      </c>
      <c r="G118" s="9">
        <v>2.7556447982788099</v>
      </c>
      <c r="H118" s="9">
        <v>231297.5625</v>
      </c>
      <c r="I118" s="9">
        <v>567919.25</v>
      </c>
      <c r="J118" s="9">
        <v>1.09577584266663</v>
      </c>
      <c r="K118" s="9">
        <v>0.49592760205268899</v>
      </c>
      <c r="L118" s="9" t="e">
        <f>IF(OR(OIT!#REF!="",OIT!#REF!=""),"",OIT!#REF!-OIT!#REF!)</f>
        <v>#REF!</v>
      </c>
      <c r="M118" s="9" t="e">
        <f>IF(OR(OIT!#REF!="",OIT!#REF!=""),"",OIT!#REF!-OIT!#REF!)</f>
        <v>#REF!</v>
      </c>
      <c r="N118" s="9" t="e">
        <f>IF(OR(OIT!#REF!="",OIT!#REF!=""),"",OIT!#REF!-OIT!#REF!)</f>
        <v>#REF!</v>
      </c>
      <c r="O118" s="9">
        <f t="shared" si="4"/>
        <v>12382.056982517235</v>
      </c>
      <c r="P118" s="9">
        <f t="shared" si="5"/>
        <v>42945.457038221146</v>
      </c>
      <c r="Q118" s="9">
        <f t="shared" si="6"/>
        <v>18.680059607751691</v>
      </c>
      <c r="R118" s="9">
        <f t="shared" si="7"/>
        <v>105446.64409100192</v>
      </c>
    </row>
    <row r="119" spans="1:18" ht="15.5">
      <c r="A119" s="7" t="s">
        <v>6</v>
      </c>
      <c r="B119" s="7" t="s">
        <v>7</v>
      </c>
      <c r="C119" s="8">
        <v>1999</v>
      </c>
      <c r="D119" s="9">
        <v>15.319312999999999</v>
      </c>
      <c r="E119" s="9">
        <v>5.3663377761840803</v>
      </c>
      <c r="F119" s="9">
        <v>2277</v>
      </c>
      <c r="G119" s="9">
        <v>2.7711048126220699</v>
      </c>
      <c r="H119" s="9">
        <v>230664.65625</v>
      </c>
      <c r="I119" s="9">
        <v>594710.9375</v>
      </c>
      <c r="J119" s="9">
        <v>1.06977987289429</v>
      </c>
      <c r="K119" s="9">
        <v>0.50895923376083396</v>
      </c>
      <c r="L119" s="9" t="e">
        <f>IF(OR(OIT!#REF!="",OIT!#REF!=""),"",OIT!#REF!-OIT!#REF!)</f>
        <v>#REF!</v>
      </c>
      <c r="M119" s="9" t="e">
        <f>IF(OR(OIT!#REF!="",OIT!#REF!=""),"",OIT!#REF!-OIT!#REF!)</f>
        <v>#REF!</v>
      </c>
      <c r="N119" s="9" t="e">
        <f>IF(OR(OIT!#REF!="",OIT!#REF!=""),"",OIT!#REF!-OIT!#REF!)</f>
        <v>#REF!</v>
      </c>
      <c r="O119" s="9">
        <f t="shared" si="4"/>
        <v>12219.151116371151</v>
      </c>
      <c r="P119" s="9">
        <f t="shared" si="5"/>
        <v>42983.626053822889</v>
      </c>
      <c r="Q119" s="9">
        <f t="shared" si="6"/>
        <v>18.877306128161127</v>
      </c>
      <c r="R119" s="9">
        <f t="shared" si="7"/>
        <v>110822.4942789363</v>
      </c>
    </row>
    <row r="120" spans="1:18" ht="15.5">
      <c r="A120" s="7" t="s">
        <v>6</v>
      </c>
      <c r="B120" s="7" t="s">
        <v>7</v>
      </c>
      <c r="C120" s="8">
        <v>2000</v>
      </c>
      <c r="D120" s="9">
        <v>15.503634999999999</v>
      </c>
      <c r="E120" s="9">
        <v>5.5366053581237802</v>
      </c>
      <c r="F120" s="9">
        <v>2263</v>
      </c>
      <c r="G120" s="9">
        <v>2.7866518497467001</v>
      </c>
      <c r="H120" s="9">
        <v>242132.4375</v>
      </c>
      <c r="I120" s="9">
        <v>624921.125</v>
      </c>
      <c r="J120" s="9">
        <v>1.07545137405396</v>
      </c>
      <c r="K120" s="9">
        <v>0.49167609214782698</v>
      </c>
      <c r="L120" s="9" t="e">
        <f>IF(OR(OIT!#REF!="",OIT!#REF!=""),"",OIT!#REF!-OIT!#REF!)</f>
        <v>#REF!</v>
      </c>
      <c r="M120" s="9" t="e">
        <f>IF(OR(OIT!#REF!="",OIT!#REF!=""),"",OIT!#REF!-OIT!#REF!)</f>
        <v>#REF!</v>
      </c>
      <c r="N120" s="9" t="e">
        <f>IF(OR(OIT!#REF!="",OIT!#REF!=""),"",OIT!#REF!-OIT!#REF!)</f>
        <v>#REF!</v>
      </c>
      <c r="O120" s="9">
        <f t="shared" si="4"/>
        <v>12529.337925434114</v>
      </c>
      <c r="P120" s="9">
        <f t="shared" si="5"/>
        <v>43733.013613607589</v>
      </c>
      <c r="Q120" s="9">
        <f t="shared" si="6"/>
        <v>19.325238008664424</v>
      </c>
      <c r="R120" s="9">
        <f t="shared" si="7"/>
        <v>112870.80884012482</v>
      </c>
    </row>
    <row r="121" spans="1:18" ht="15.5">
      <c r="A121" s="7" t="s">
        <v>6</v>
      </c>
      <c r="B121" s="7" t="s">
        <v>7</v>
      </c>
      <c r="C121" s="8">
        <v>2001</v>
      </c>
      <c r="D121" s="9">
        <v>15.683849</v>
      </c>
      <c r="E121" s="9">
        <v>5.6194267272949201</v>
      </c>
      <c r="F121" s="9">
        <v>2242</v>
      </c>
      <c r="G121" s="9">
        <v>2.8052926063537602</v>
      </c>
      <c r="H121" s="9">
        <v>249769.375</v>
      </c>
      <c r="I121" s="9">
        <v>655362.125</v>
      </c>
      <c r="J121" s="9">
        <v>1.0739566087722801</v>
      </c>
      <c r="K121" s="9">
        <v>0.48680254817009</v>
      </c>
      <c r="L121" s="9" t="e">
        <f>IF(OR(OIT!#REF!="",OIT!#REF!=""),"",OIT!#REF!-OIT!#REF!)</f>
        <v>#REF!</v>
      </c>
      <c r="M121" s="9" t="e">
        <f>IF(OR(OIT!#REF!="",OIT!#REF!=""),"",OIT!#REF!-OIT!#REF!)</f>
        <v>#REF!</v>
      </c>
      <c r="N121" s="9" t="e">
        <f>IF(OR(OIT!#REF!="",OIT!#REF!=""),"",OIT!#REF!-OIT!#REF!)</f>
        <v>#REF!</v>
      </c>
      <c r="O121" s="9">
        <f t="shared" si="4"/>
        <v>12598.754722595211</v>
      </c>
      <c r="P121" s="9">
        <f t="shared" si="5"/>
        <v>44447.483190199724</v>
      </c>
      <c r="Q121" s="9">
        <f t="shared" si="6"/>
        <v>19.824925597769724</v>
      </c>
      <c r="R121" s="9">
        <f t="shared" si="7"/>
        <v>116624.37412285261</v>
      </c>
    </row>
    <row r="122" spans="1:18" ht="15.5">
      <c r="A122" s="7" t="s">
        <v>6</v>
      </c>
      <c r="B122" s="7" t="s">
        <v>7</v>
      </c>
      <c r="C122" s="8">
        <v>2002</v>
      </c>
      <c r="D122" s="9">
        <v>15.857925</v>
      </c>
      <c r="E122" s="9">
        <v>5.7360243797302299</v>
      </c>
      <c r="F122" s="9">
        <v>2250</v>
      </c>
      <c r="G122" s="9">
        <v>2.82405781745911</v>
      </c>
      <c r="H122" s="9">
        <v>257768.96875</v>
      </c>
      <c r="I122" s="9">
        <v>686735.375</v>
      </c>
      <c r="J122" s="9">
        <v>1.0639420747757</v>
      </c>
      <c r="K122" s="9">
        <v>0.48449355363845797</v>
      </c>
      <c r="L122" s="9" t="e">
        <f>IF(OR(OIT!#REF!="",OIT!#REF!=""),"",OIT!#REF!-OIT!#REF!)</f>
        <v>#REF!</v>
      </c>
      <c r="M122" s="9" t="e">
        <f>IF(OR(OIT!#REF!="",OIT!#REF!=""),"",OIT!#REF!-OIT!#REF!)</f>
        <v>#REF!</v>
      </c>
      <c r="N122" s="9" t="e">
        <f>IF(OR(OIT!#REF!="",OIT!#REF!=""),"",OIT!#REF!-OIT!#REF!)</f>
        <v>#REF!</v>
      </c>
      <c r="O122" s="9">
        <f t="shared" si="4"/>
        <v>12906.054854393018</v>
      </c>
      <c r="P122" s="9">
        <f t="shared" si="5"/>
        <v>44938.611080680777</v>
      </c>
      <c r="Q122" s="9">
        <f t="shared" si="6"/>
        <v>19.972716035858124</v>
      </c>
      <c r="R122" s="9">
        <f t="shared" si="7"/>
        <v>119723.23155158866</v>
      </c>
    </row>
    <row r="123" spans="1:18" ht="15.5">
      <c r="A123" s="7" t="s">
        <v>6</v>
      </c>
      <c r="B123" s="7" t="s">
        <v>7</v>
      </c>
      <c r="C123" s="8">
        <v>2003</v>
      </c>
      <c r="D123" s="9">
        <v>16.024751999999999</v>
      </c>
      <c r="E123" s="9">
        <v>5.8956375122070304</v>
      </c>
      <c r="F123" s="9">
        <v>2235</v>
      </c>
      <c r="G123" s="9">
        <v>2.8429489135742201</v>
      </c>
      <c r="H123" s="9">
        <v>269944.03125</v>
      </c>
      <c r="I123" s="9">
        <v>721246.0625</v>
      </c>
      <c r="J123" s="9">
        <v>1.06942570209503</v>
      </c>
      <c r="K123" s="9">
        <v>0.49988648295402499</v>
      </c>
      <c r="L123" s="9" t="e">
        <f>IF(OR(OIT!#REF!="",OIT!#REF!=""),"",OIT!#REF!-OIT!#REF!)</f>
        <v>#REF!</v>
      </c>
      <c r="M123" s="9" t="e">
        <f>IF(OR(OIT!#REF!="",OIT!#REF!=""),"",OIT!#REF!-OIT!#REF!)</f>
        <v>#REF!</v>
      </c>
      <c r="N123" s="9" t="e">
        <f>IF(OR(OIT!#REF!="",OIT!#REF!=""),"",OIT!#REF!-OIT!#REF!)</f>
        <v>#REF!</v>
      </c>
      <c r="O123" s="9">
        <f t="shared" si="4"/>
        <v>13176.749839782713</v>
      </c>
      <c r="P123" s="9">
        <f t="shared" si="5"/>
        <v>45787.080818838629</v>
      </c>
      <c r="Q123" s="9">
        <f t="shared" si="6"/>
        <v>20.486389628115717</v>
      </c>
      <c r="R123" s="9">
        <f t="shared" si="7"/>
        <v>122335.55082154325</v>
      </c>
    </row>
    <row r="124" spans="1:18" ht="15.5">
      <c r="A124" s="7" t="s">
        <v>6</v>
      </c>
      <c r="B124" s="7" t="s">
        <v>7</v>
      </c>
      <c r="C124" s="8">
        <v>2004</v>
      </c>
      <c r="D124" s="9">
        <v>16.187322000000002</v>
      </c>
      <c r="E124" s="9">
        <v>6.0120930671691903</v>
      </c>
      <c r="F124" s="9">
        <v>2232</v>
      </c>
      <c r="G124" s="9">
        <v>2.8619658946990998</v>
      </c>
      <c r="H124" s="9">
        <v>287960.8125</v>
      </c>
      <c r="I124" s="9">
        <v>761100.5625</v>
      </c>
      <c r="J124" s="9">
        <v>1.09067583084106</v>
      </c>
      <c r="K124" s="9">
        <v>0.45945653319358798</v>
      </c>
      <c r="L124" s="9" t="e">
        <f>IF(OR(OIT!#REF!="",OIT!#REF!=""),"",OIT!#REF!-OIT!#REF!)</f>
        <v>#REF!</v>
      </c>
      <c r="M124" s="9" t="e">
        <f>IF(OR(OIT!#REF!="",OIT!#REF!=""),"",OIT!#REF!-OIT!#REF!)</f>
        <v>#REF!</v>
      </c>
      <c r="N124" s="9" t="e">
        <f>IF(OR(OIT!#REF!="",OIT!#REF!=""),"",OIT!#REF!-OIT!#REF!)</f>
        <v>#REF!</v>
      </c>
      <c r="O124" s="9">
        <f t="shared" si="4"/>
        <v>13418.991725921633</v>
      </c>
      <c r="P124" s="9">
        <f t="shared" si="5"/>
        <v>47896.931947460202</v>
      </c>
      <c r="Q124" s="9">
        <f t="shared" si="6"/>
        <v>21.459198901191847</v>
      </c>
      <c r="R124" s="9">
        <f t="shared" si="7"/>
        <v>126594.94023075164</v>
      </c>
    </row>
    <row r="125" spans="1:18" ht="15.5">
      <c r="A125" s="7" t="s">
        <v>6</v>
      </c>
      <c r="B125" s="7" t="s">
        <v>7</v>
      </c>
      <c r="C125" s="8">
        <v>2005</v>
      </c>
      <c r="D125" s="9">
        <v>16.348777999999999</v>
      </c>
      <c r="E125" s="9">
        <v>6.2304272651672399</v>
      </c>
      <c r="F125" s="9">
        <v>2157</v>
      </c>
      <c r="G125" s="9">
        <v>2.8811104297637899</v>
      </c>
      <c r="H125" s="9">
        <v>304769.1875</v>
      </c>
      <c r="I125" s="9">
        <v>813611.25</v>
      </c>
      <c r="J125" s="9">
        <v>1.1005613803863501</v>
      </c>
      <c r="K125" s="9">
        <v>0.43496245145797702</v>
      </c>
      <c r="L125" s="9" t="e">
        <f>IF(OR(OIT!#REF!="",OIT!#REF!=""),"",OIT!#REF!-OIT!#REF!)</f>
        <v>#REF!</v>
      </c>
      <c r="M125" s="9" t="e">
        <f>IF(OR(OIT!#REF!="",OIT!#REF!=""),"",OIT!#REF!-OIT!#REF!)</f>
        <v>#REF!</v>
      </c>
      <c r="N125" s="9" t="e">
        <f>IF(OR(OIT!#REF!="",OIT!#REF!=""),"",OIT!#REF!-OIT!#REF!)</f>
        <v>#REF!</v>
      </c>
      <c r="O125" s="9">
        <f t="shared" si="4"/>
        <v>13439.031610965736</v>
      </c>
      <c r="P125" s="9">
        <f t="shared" si="5"/>
        <v>48916.257991468461</v>
      </c>
      <c r="Q125" s="9">
        <f t="shared" si="6"/>
        <v>22.677912837954782</v>
      </c>
      <c r="R125" s="9">
        <f t="shared" si="7"/>
        <v>130586.75037403886</v>
      </c>
    </row>
    <row r="126" spans="1:18" ht="15.5">
      <c r="A126" s="7" t="s">
        <v>6</v>
      </c>
      <c r="B126" s="7" t="s">
        <v>7</v>
      </c>
      <c r="C126" s="8">
        <v>2006</v>
      </c>
      <c r="D126" s="9">
        <v>16.509194999999998</v>
      </c>
      <c r="E126" s="9">
        <v>6.4505929946899396</v>
      </c>
      <c r="F126" s="9">
        <v>2165</v>
      </c>
      <c r="G126" s="9">
        <v>2.9003832340240501</v>
      </c>
      <c r="H126" s="9">
        <v>323207.71875</v>
      </c>
      <c r="I126" s="9">
        <v>867475.6875</v>
      </c>
      <c r="J126" s="9">
        <v>1.0966445207595801</v>
      </c>
      <c r="K126" s="9">
        <v>0.38871929049491899</v>
      </c>
      <c r="L126" s="9" t="e">
        <f>IF(OR(OIT!#REF!="",OIT!#REF!=""),"",OIT!#REF!-OIT!#REF!)</f>
        <v>#REF!</v>
      </c>
      <c r="M126" s="9" t="e">
        <f>IF(OR(OIT!#REF!="",OIT!#REF!=""),"",OIT!#REF!-OIT!#REF!)</f>
        <v>#REF!</v>
      </c>
      <c r="N126" s="9" t="e">
        <f>IF(OR(OIT!#REF!="",OIT!#REF!=""),"",OIT!#REF!-OIT!#REF!)</f>
        <v>#REF!</v>
      </c>
      <c r="O126" s="9">
        <f t="shared" si="4"/>
        <v>13965.53383350372</v>
      </c>
      <c r="P126" s="9">
        <f t="shared" si="5"/>
        <v>50105.117314960218</v>
      </c>
      <c r="Q126" s="9">
        <f t="shared" si="6"/>
        <v>23.143241254023195</v>
      </c>
      <c r="R126" s="9">
        <f t="shared" si="7"/>
        <v>134479.99094255318</v>
      </c>
    </row>
    <row r="127" spans="1:18" ht="15.5">
      <c r="A127" s="7" t="s">
        <v>6</v>
      </c>
      <c r="B127" s="7" t="s">
        <v>7</v>
      </c>
      <c r="C127" s="8">
        <v>2007</v>
      </c>
      <c r="D127" s="9">
        <v>16.671581</v>
      </c>
      <c r="E127" s="9">
        <v>6.6311984062194798</v>
      </c>
      <c r="F127" s="9">
        <v>2128</v>
      </c>
      <c r="G127" s="9">
        <v>2.9197845458984402</v>
      </c>
      <c r="H127" s="9">
        <v>339911.84375</v>
      </c>
      <c r="I127" s="9">
        <v>925700.5</v>
      </c>
      <c r="J127" s="9">
        <v>1.0931687355041499</v>
      </c>
      <c r="K127" s="9">
        <v>0.38866409659385698</v>
      </c>
      <c r="L127" s="9" t="e">
        <f>IF(OR(OIT!#REF!="",OIT!#REF!=""),"",OIT!#REF!-OIT!#REF!)</f>
        <v>#REF!</v>
      </c>
      <c r="M127" s="9" t="e">
        <f>IF(OR(OIT!#REF!="",OIT!#REF!=""),"",OIT!#REF!-OIT!#REF!)</f>
        <v>#REF!</v>
      </c>
      <c r="N127" s="9" t="e">
        <f>IF(OR(OIT!#REF!="",OIT!#REF!=""),"",OIT!#REF!-OIT!#REF!)</f>
        <v>#REF!</v>
      </c>
      <c r="O127" s="9">
        <f t="shared" si="4"/>
        <v>14111.190208435053</v>
      </c>
      <c r="P127" s="9">
        <f t="shared" si="5"/>
        <v>51259.489300032503</v>
      </c>
      <c r="Q127" s="9">
        <f t="shared" si="6"/>
        <v>24.088105874075424</v>
      </c>
      <c r="R127" s="9">
        <f t="shared" si="7"/>
        <v>139597.76850165945</v>
      </c>
    </row>
    <row r="128" spans="1:18" ht="15.5">
      <c r="A128" s="7" t="s">
        <v>6</v>
      </c>
      <c r="B128" s="7" t="s">
        <v>7</v>
      </c>
      <c r="C128" s="8">
        <v>2008</v>
      </c>
      <c r="D128" s="9">
        <v>16.838988000000001</v>
      </c>
      <c r="E128" s="9">
        <v>6.72141313552856</v>
      </c>
      <c r="F128" s="9">
        <v>2095</v>
      </c>
      <c r="G128" s="9">
        <v>2.9393157958984402</v>
      </c>
      <c r="H128" s="9">
        <v>352792.40625</v>
      </c>
      <c r="I128" s="9">
        <v>998714.5</v>
      </c>
      <c r="J128" s="9">
        <v>1.0766135454177901</v>
      </c>
      <c r="K128" s="9">
        <v>0.433321952819824</v>
      </c>
      <c r="L128" s="9" t="e">
        <f>IF(OR(OIT!#REF!="",OIT!#REF!=""),"",OIT!#REF!-OIT!#REF!)</f>
        <v>#REF!</v>
      </c>
      <c r="M128" s="9" t="e">
        <f>IF(OR(OIT!#REF!="",OIT!#REF!=""),"",OIT!#REF!-OIT!#REF!)</f>
        <v>#REF!</v>
      </c>
      <c r="N128" s="9" t="e">
        <f>IF(OR(OIT!#REF!="",OIT!#REF!=""),"",OIT!#REF!-OIT!#REF!)</f>
        <v>#REF!</v>
      </c>
      <c r="O128" s="9">
        <f t="shared" si="4"/>
        <v>14081.360518932333</v>
      </c>
      <c r="P128" s="9">
        <f t="shared" si="5"/>
        <v>52487.832415059107</v>
      </c>
      <c r="Q128" s="9">
        <f t="shared" si="6"/>
        <v>25.053857954682151</v>
      </c>
      <c r="R128" s="9">
        <f t="shared" si="7"/>
        <v>148586.98310343677</v>
      </c>
    </row>
    <row r="129" spans="1:18" ht="15.5">
      <c r="A129" s="7" t="s">
        <v>6</v>
      </c>
      <c r="B129" s="7" t="s">
        <v>7</v>
      </c>
      <c r="C129" s="8">
        <v>2009</v>
      </c>
      <c r="D129" s="9">
        <v>17.009730999999999</v>
      </c>
      <c r="E129" s="9">
        <v>6.7474246025085503</v>
      </c>
      <c r="F129" s="9">
        <v>2074</v>
      </c>
      <c r="G129" s="9">
        <v>2.9589774608612101</v>
      </c>
      <c r="H129" s="9">
        <v>348848.09375</v>
      </c>
      <c r="I129" s="9">
        <v>1055187.5</v>
      </c>
      <c r="J129" s="9">
        <v>1.0285882949829099</v>
      </c>
      <c r="K129" s="9">
        <v>0.44022360444068898</v>
      </c>
      <c r="L129" s="9" t="e">
        <f>IF(OR(OIT!#REF!="",OIT!#REF!=""),"",OIT!#REF!-OIT!#REF!)</f>
        <v>#REF!</v>
      </c>
      <c r="M129" s="9" t="e">
        <f>IF(OR(OIT!#REF!="",OIT!#REF!=""),"",OIT!#REF!-OIT!#REF!)</f>
        <v>#REF!</v>
      </c>
      <c r="N129" s="9" t="e">
        <f>IF(OR(OIT!#REF!="",OIT!#REF!=""),"",OIT!#REF!-OIT!#REF!)</f>
        <v>#REF!</v>
      </c>
      <c r="O129" s="9">
        <f t="shared" si="4"/>
        <v>13994.158625602733</v>
      </c>
      <c r="P129" s="9">
        <f t="shared" si="5"/>
        <v>51700.925064106035</v>
      </c>
      <c r="Q129" s="9">
        <f t="shared" si="6"/>
        <v>24.928122017408889</v>
      </c>
      <c r="R129" s="9">
        <f t="shared" si="7"/>
        <v>156383.74078425471</v>
      </c>
    </row>
    <row r="130" spans="1:18" ht="15.5">
      <c r="A130" s="7" t="s">
        <v>6</v>
      </c>
      <c r="B130" s="7" t="s">
        <v>7</v>
      </c>
      <c r="C130" s="8">
        <v>2010</v>
      </c>
      <c r="D130" s="9">
        <v>17.181463999999998</v>
      </c>
      <c r="E130" s="9">
        <v>6.8891978263854998</v>
      </c>
      <c r="F130" s="9">
        <v>2069.8000000000002</v>
      </c>
      <c r="G130" s="9">
        <v>2.97877097129822</v>
      </c>
      <c r="H130" s="9">
        <v>369261.40625</v>
      </c>
      <c r="I130" s="9">
        <v>1117952.375</v>
      </c>
      <c r="J130" s="9">
        <v>1.03552210330963</v>
      </c>
      <c r="K130" s="9">
        <v>0.44022360444068898</v>
      </c>
      <c r="L130" s="9" t="e">
        <f>IF(OR(OIT!#REF!="",OIT!#REF!=""),"",OIT!#REF!-OIT!#REF!)</f>
        <v>#REF!</v>
      </c>
      <c r="M130" s="9" t="e">
        <f>IF(OR(OIT!#REF!="",OIT!#REF!=""),"",OIT!#REF!-OIT!#REF!)</f>
        <v>#REF!</v>
      </c>
      <c r="N130" s="9" t="e">
        <f>IF(OR(OIT!#REF!="",OIT!#REF!=""),"",OIT!#REF!-OIT!#REF!)</f>
        <v>#REF!</v>
      </c>
      <c r="O130" s="9">
        <f t="shared" ref="O130:O193" si="8">IFERROR(E130*F130,"")</f>
        <v>14259.261661052709</v>
      </c>
      <c r="P130" s="9">
        <f t="shared" ref="P130:P193" si="9">IFERROR(H130/E130,"")</f>
        <v>53600.058461920729</v>
      </c>
      <c r="Q130" s="9">
        <f t="shared" ref="Q130:Q193" si="10">IFERROR(H130/(E130*F130),"")</f>
        <v>25.896250102387054</v>
      </c>
      <c r="R130" s="9">
        <f t="shared" ref="R130:R193" si="11">IFERROR(I130/E130,"")</f>
        <v>162276.13187681491</v>
      </c>
    </row>
    <row r="131" spans="1:18" ht="15.5">
      <c r="A131" s="7" t="s">
        <v>6</v>
      </c>
      <c r="B131" s="7" t="s">
        <v>7</v>
      </c>
      <c r="C131" s="8">
        <v>2011</v>
      </c>
      <c r="D131" s="9">
        <v>17.351815999999999</v>
      </c>
      <c r="E131" s="9">
        <v>7.1213545799255398</v>
      </c>
      <c r="F131" s="9">
        <v>2050.1999999999998</v>
      </c>
      <c r="G131" s="9">
        <v>2.9968798160553001</v>
      </c>
      <c r="H131" s="9">
        <v>392243.90625</v>
      </c>
      <c r="I131" s="9">
        <v>1191439.875</v>
      </c>
      <c r="J131" s="9">
        <v>1.03923416137695</v>
      </c>
      <c r="K131" s="9">
        <v>0.44022360444068898</v>
      </c>
      <c r="L131" s="9" t="e">
        <f>IF(OR(OIT!#REF!="",OIT!#REF!=""),"",OIT!#REF!-OIT!#REF!)</f>
        <v>#REF!</v>
      </c>
      <c r="M131" s="9" t="e">
        <f>IF(OR(OIT!#REF!="",OIT!#REF!=""),"",OIT!#REF!-OIT!#REF!)</f>
        <v>#REF!</v>
      </c>
      <c r="N131" s="9" t="e">
        <f>IF(OR(OIT!#REF!="",OIT!#REF!=""),"",OIT!#REF!-OIT!#REF!)</f>
        <v>#REF!</v>
      </c>
      <c r="O131" s="9">
        <f t="shared" si="8"/>
        <v>14600.201159763341</v>
      </c>
      <c r="P131" s="9">
        <f t="shared" si="9"/>
        <v>55079.957309765254</v>
      </c>
      <c r="Q131" s="9">
        <f t="shared" si="10"/>
        <v>26.865650819317754</v>
      </c>
      <c r="R131" s="9">
        <f t="shared" si="11"/>
        <v>167305.23127700482</v>
      </c>
    </row>
    <row r="132" spans="1:18" ht="15.5">
      <c r="A132" s="7" t="s">
        <v>6</v>
      </c>
      <c r="B132" s="7" t="s">
        <v>7</v>
      </c>
      <c r="C132" s="8">
        <v>2012</v>
      </c>
      <c r="D132" s="9">
        <v>17.519119</v>
      </c>
      <c r="E132" s="9">
        <v>7.3789343833923304</v>
      </c>
      <c r="F132" s="9">
        <v>2027.4</v>
      </c>
      <c r="G132" s="9">
        <v>3.0150983333587602</v>
      </c>
      <c r="H132" s="9">
        <v>416387.84375</v>
      </c>
      <c r="I132" s="9">
        <v>1275040.375</v>
      </c>
      <c r="J132" s="9">
        <v>1.04053974151611</v>
      </c>
      <c r="K132" s="9">
        <v>0.44022360444068898</v>
      </c>
      <c r="L132" s="9" t="e">
        <f>IF(OR(OIT!#REF!="",OIT!#REF!=""),"",OIT!#REF!-OIT!#REF!)</f>
        <v>#REF!</v>
      </c>
      <c r="M132" s="9" t="e">
        <f>IF(OR(OIT!#REF!="",OIT!#REF!=""),"",OIT!#REF!-OIT!#REF!)</f>
        <v>#REF!</v>
      </c>
      <c r="N132" s="9" t="e">
        <f>IF(OR(OIT!#REF!="",OIT!#REF!=""),"",OIT!#REF!-OIT!#REF!)</f>
        <v>#REF!</v>
      </c>
      <c r="O132" s="9">
        <f t="shared" si="8"/>
        <v>14960.051568889612</v>
      </c>
      <c r="P132" s="9">
        <f t="shared" si="9"/>
        <v>56429.265001618471</v>
      </c>
      <c r="Q132" s="9">
        <f t="shared" si="10"/>
        <v>27.833316070641445</v>
      </c>
      <c r="R132" s="9">
        <f t="shared" si="11"/>
        <v>172794.64875981503</v>
      </c>
    </row>
    <row r="133" spans="1:18" ht="15.5">
      <c r="A133" s="7" t="s">
        <v>6</v>
      </c>
      <c r="B133" s="7" t="s">
        <v>7</v>
      </c>
      <c r="C133" s="8">
        <v>2013</v>
      </c>
      <c r="D133" s="9">
        <v>17.687006</v>
      </c>
      <c r="E133" s="9">
        <v>7.54585838317871</v>
      </c>
      <c r="F133" s="9">
        <v>2021.3</v>
      </c>
      <c r="G133" s="9">
        <v>3.0334279537200901</v>
      </c>
      <c r="H133" s="9">
        <v>430164.0625</v>
      </c>
      <c r="I133" s="9">
        <v>1356135.5</v>
      </c>
      <c r="J133" s="9">
        <v>1.02323889732361</v>
      </c>
      <c r="K133" s="9">
        <v>0.44022360444068898</v>
      </c>
      <c r="L133" s="9" t="e">
        <f>IF(OR(OIT!#REF!="",OIT!#REF!=""),"",OIT!#REF!-OIT!#REF!)</f>
        <v>#REF!</v>
      </c>
      <c r="M133" s="9" t="e">
        <f>IF(OR(OIT!#REF!="",OIT!#REF!=""),"",OIT!#REF!-OIT!#REF!)</f>
        <v>#REF!</v>
      </c>
      <c r="N133" s="9" t="e">
        <f>IF(OR(OIT!#REF!="",OIT!#REF!=""),"",OIT!#REF!-OIT!#REF!)</f>
        <v>#REF!</v>
      </c>
      <c r="O133" s="9">
        <f t="shared" si="8"/>
        <v>15252.443549919126</v>
      </c>
      <c r="P133" s="9">
        <f t="shared" si="9"/>
        <v>57006.643996781771</v>
      </c>
      <c r="Q133" s="9">
        <f t="shared" si="10"/>
        <v>28.202960469391861</v>
      </c>
      <c r="R133" s="9">
        <f t="shared" si="11"/>
        <v>179719.18251515407</v>
      </c>
    </row>
    <row r="134" spans="1:18" ht="15.5">
      <c r="A134" s="7" t="s">
        <v>6</v>
      </c>
      <c r="B134" s="7" t="s">
        <v>7</v>
      </c>
      <c r="C134" s="8">
        <v>2014</v>
      </c>
      <c r="D134" s="9">
        <v>17.864194999999999</v>
      </c>
      <c r="E134" s="9">
        <v>7.6298341751098597</v>
      </c>
      <c r="F134" s="9">
        <v>1994.4</v>
      </c>
      <c r="G134" s="9">
        <v>3.05186891555786</v>
      </c>
      <c r="H134" s="9">
        <v>437875.40625</v>
      </c>
      <c r="I134" s="9">
        <v>1428125.5</v>
      </c>
      <c r="J134" s="9">
        <v>1.0088175535202</v>
      </c>
      <c r="K134" s="9">
        <v>0.44022360444068898</v>
      </c>
      <c r="L134" s="9" t="e">
        <f>IF(OR(OIT!#REF!="",OIT!#REF!=""),"",OIT!#REF!-OIT!#REF!)</f>
        <v>#REF!</v>
      </c>
      <c r="M134" s="9" t="e">
        <f>IF(OR(OIT!#REF!="",OIT!#REF!=""),"",OIT!#REF!-OIT!#REF!)</f>
        <v>#REF!</v>
      </c>
      <c r="N134" s="9" t="e">
        <f>IF(OR(OIT!#REF!="",OIT!#REF!=""),"",OIT!#REF!-OIT!#REF!)</f>
        <v>#REF!</v>
      </c>
      <c r="O134" s="9">
        <f t="shared" si="8"/>
        <v>15216.941278839106</v>
      </c>
      <c r="P134" s="9">
        <f t="shared" si="9"/>
        <v>57389.898155118841</v>
      </c>
      <c r="Q134" s="9">
        <f t="shared" si="10"/>
        <v>28.775520535057577</v>
      </c>
      <c r="R134" s="9">
        <f t="shared" si="11"/>
        <v>187176.47949136939</v>
      </c>
    </row>
    <row r="135" spans="1:18" ht="15.5">
      <c r="A135" s="7" t="s">
        <v>6</v>
      </c>
      <c r="B135" s="7" t="s">
        <v>7</v>
      </c>
      <c r="C135" s="8">
        <v>2015</v>
      </c>
      <c r="D135" s="9">
        <v>18.047625</v>
      </c>
      <c r="E135" s="9">
        <v>7.7604351043701199</v>
      </c>
      <c r="F135" s="9">
        <v>1993.7</v>
      </c>
      <c r="G135" s="9">
        <v>3.0704219341278098</v>
      </c>
      <c r="H135" s="9">
        <v>447298.21875</v>
      </c>
      <c r="I135" s="9">
        <v>1498107.875</v>
      </c>
      <c r="J135" s="9">
        <v>0.99244135618209794</v>
      </c>
      <c r="K135" s="9">
        <v>0.44022360444068898</v>
      </c>
      <c r="L135" s="9" t="e">
        <f>IF(OR(OIT!#REF!="",OIT!#REF!=""),"",OIT!#REF!-OIT!#REF!)</f>
        <v>#REF!</v>
      </c>
      <c r="M135" s="9" t="e">
        <f>IF(OR(OIT!#REF!="",OIT!#REF!=""),"",OIT!#REF!-OIT!#REF!)</f>
        <v>#REF!</v>
      </c>
      <c r="N135" s="9" t="e">
        <f>IF(OR(OIT!#REF!="",OIT!#REF!=""),"",OIT!#REF!-OIT!#REF!)</f>
        <v>#REF!</v>
      </c>
      <c r="O135" s="9">
        <f t="shared" si="8"/>
        <v>15471.979467582709</v>
      </c>
      <c r="P135" s="9">
        <f t="shared" si="9"/>
        <v>57638.291247112393</v>
      </c>
      <c r="Q135" s="9">
        <f t="shared" si="10"/>
        <v>28.910212793856843</v>
      </c>
      <c r="R135" s="9">
        <f t="shared" si="11"/>
        <v>193044.31450710454</v>
      </c>
    </row>
    <row r="136" spans="1:18" ht="15.5">
      <c r="A136" s="7" t="s">
        <v>6</v>
      </c>
      <c r="B136" s="7" t="s">
        <v>7</v>
      </c>
      <c r="C136" s="8">
        <v>2016</v>
      </c>
      <c r="D136" s="9">
        <v>18.267220999999999</v>
      </c>
      <c r="E136" s="9">
        <v>7.8443145751953098</v>
      </c>
      <c r="F136" s="9">
        <v>1977.5</v>
      </c>
      <c r="G136" s="9">
        <v>3.0890879631042498</v>
      </c>
      <c r="H136" s="9">
        <v>455139.5</v>
      </c>
      <c r="I136" s="9">
        <v>1562235.75</v>
      </c>
      <c r="J136" s="9">
        <v>0.98208850622177102</v>
      </c>
      <c r="K136" s="9">
        <v>0.44022360444068898</v>
      </c>
      <c r="L136" s="9" t="e">
        <f>IF(OR(OIT!#REF!="",OIT!#REF!=""),"",OIT!#REF!-OIT!#REF!)</f>
        <v>#REF!</v>
      </c>
      <c r="M136" s="9" t="e">
        <f>IF(OR(OIT!#REF!="",OIT!#REF!=""),"",OIT!#REF!-OIT!#REF!)</f>
        <v>#REF!</v>
      </c>
      <c r="N136" s="9" t="e">
        <f>IF(OR(OIT!#REF!="",OIT!#REF!=""),"",OIT!#REF!-OIT!#REF!)</f>
        <v>#REF!</v>
      </c>
      <c r="O136" s="9">
        <f t="shared" si="8"/>
        <v>15512.132072448725</v>
      </c>
      <c r="P136" s="9">
        <f t="shared" si="9"/>
        <v>58021.576727583983</v>
      </c>
      <c r="Q136" s="9">
        <f t="shared" si="10"/>
        <v>29.340873187147398</v>
      </c>
      <c r="R136" s="9">
        <f t="shared" si="11"/>
        <v>199155.16327455585</v>
      </c>
    </row>
    <row r="137" spans="1:18" ht="15.5">
      <c r="A137" s="7" t="s">
        <v>6</v>
      </c>
      <c r="B137" s="7" t="s">
        <v>7</v>
      </c>
      <c r="C137" s="8">
        <v>2017</v>
      </c>
      <c r="D137" s="9">
        <v>18.558868</v>
      </c>
      <c r="E137" s="9">
        <v>7.9280681610107404</v>
      </c>
      <c r="F137" s="9">
        <v>1963.1</v>
      </c>
      <c r="G137" s="9">
        <v>3.10786700248718</v>
      </c>
      <c r="H137" s="9">
        <v>461318.9375</v>
      </c>
      <c r="I137" s="9">
        <v>1619323.75</v>
      </c>
      <c r="J137" s="9">
        <v>0.97194421291351296</v>
      </c>
      <c r="K137" s="9">
        <v>0.44022360444068898</v>
      </c>
      <c r="L137" s="9" t="e">
        <f>IF(OR(OIT!#REF!="",OIT!#REF!=""),"",OIT!#REF!-OIT!#REF!)</f>
        <v>#REF!</v>
      </c>
      <c r="M137" s="9" t="e">
        <f>IF(OR(OIT!#REF!="",OIT!#REF!=""),"",OIT!#REF!-OIT!#REF!)</f>
        <v>#REF!</v>
      </c>
      <c r="N137" s="9" t="e">
        <f>IF(OR(OIT!#REF!="",OIT!#REF!=""),"",OIT!#REF!-OIT!#REF!)</f>
        <v>#REF!</v>
      </c>
      <c r="O137" s="9">
        <f t="shared" si="8"/>
        <v>15563.590606880183</v>
      </c>
      <c r="P137" s="9">
        <f t="shared" si="9"/>
        <v>58188.063993787233</v>
      </c>
      <c r="Q137" s="9">
        <f t="shared" si="10"/>
        <v>29.640906725988099</v>
      </c>
      <c r="R137" s="9">
        <f t="shared" si="11"/>
        <v>204251.99646537277</v>
      </c>
    </row>
    <row r="138" spans="1:18" ht="15.5">
      <c r="A138" s="7" t="s">
        <v>6</v>
      </c>
      <c r="B138" s="7" t="s">
        <v>7</v>
      </c>
      <c r="C138" s="8">
        <v>2018</v>
      </c>
      <c r="D138" s="9">
        <v>18.893191000000002</v>
      </c>
      <c r="E138" s="9">
        <v>7.99383497238159</v>
      </c>
      <c r="F138" s="9">
        <v>1955.5</v>
      </c>
      <c r="G138" s="9">
        <v>3.1267607212066699</v>
      </c>
      <c r="H138" s="9">
        <v>479725.6875</v>
      </c>
      <c r="I138" s="9">
        <v>1682605.375</v>
      </c>
      <c r="J138" s="9">
        <v>0.98402673006057695</v>
      </c>
      <c r="K138" s="9">
        <v>0.44022360444068898</v>
      </c>
      <c r="L138" s="9" t="e">
        <f>IF(OR(OIT!#REF!="",OIT!#REF!=""),"",OIT!#REF!-OIT!#REF!)</f>
        <v>#REF!</v>
      </c>
      <c r="M138" s="9" t="e">
        <f>IF(OR(OIT!#REF!="",OIT!#REF!=""),"",OIT!#REF!-OIT!#REF!)</f>
        <v>#REF!</v>
      </c>
      <c r="N138" s="9" t="e">
        <f>IF(OR(OIT!#REF!="",OIT!#REF!=""),"",OIT!#REF!-OIT!#REF!)</f>
        <v>#REF!</v>
      </c>
      <c r="O138" s="9">
        <f t="shared" si="8"/>
        <v>15631.944288492199</v>
      </c>
      <c r="P138" s="9">
        <f t="shared" si="9"/>
        <v>60011.957859704991</v>
      </c>
      <c r="Q138" s="9">
        <f t="shared" si="10"/>
        <v>30.688804837486572</v>
      </c>
      <c r="R138" s="9">
        <f t="shared" si="11"/>
        <v>210487.87982405699</v>
      </c>
    </row>
    <row r="139" spans="1:18" ht="15.5">
      <c r="A139" s="7" t="s">
        <v>6</v>
      </c>
      <c r="B139" s="7" t="s">
        <v>7</v>
      </c>
      <c r="C139" s="8">
        <v>2019</v>
      </c>
      <c r="D139" s="9">
        <v>19.197744</v>
      </c>
      <c r="E139" s="9">
        <v>8.1656455993652308</v>
      </c>
      <c r="F139" s="9">
        <v>1929.5</v>
      </c>
      <c r="G139" s="9">
        <v>3.1457688808441202</v>
      </c>
      <c r="H139" s="9">
        <v>482768.9375</v>
      </c>
      <c r="I139" s="9">
        <v>1750039.125</v>
      </c>
      <c r="J139" s="9">
        <v>0.96249610185623202</v>
      </c>
      <c r="K139" s="9">
        <v>0.44022360444068898</v>
      </c>
      <c r="L139" s="9" t="e">
        <f>IF(OR(OIT!#REF!="",OIT!#REF!=""),"",OIT!#REF!-OIT!#REF!)</f>
        <v>#REF!</v>
      </c>
      <c r="M139" s="9" t="e">
        <f>IF(OR(OIT!#REF!="",OIT!#REF!=""),"",OIT!#REF!-OIT!#REF!)</f>
        <v>#REF!</v>
      </c>
      <c r="N139" s="9" t="e">
        <f>IF(OR(OIT!#REF!="",OIT!#REF!=""),"",OIT!#REF!-OIT!#REF!)</f>
        <v>#REF!</v>
      </c>
      <c r="O139" s="9">
        <f t="shared" si="8"/>
        <v>15755.613183975212</v>
      </c>
      <c r="P139" s="9">
        <f t="shared" si="9"/>
        <v>59121.955713768526</v>
      </c>
      <c r="Q139" s="9">
        <f t="shared" si="10"/>
        <v>30.641075778060909</v>
      </c>
      <c r="R139" s="9">
        <f t="shared" si="11"/>
        <v>214317.30090466357</v>
      </c>
    </row>
    <row r="140" spans="1:18" ht="15.5">
      <c r="A140" s="7" t="s">
        <v>6</v>
      </c>
      <c r="B140" s="7" t="s">
        <v>7</v>
      </c>
      <c r="C140" s="8">
        <v>2020</v>
      </c>
      <c r="D140" s="9">
        <v>19.370623999999999</v>
      </c>
      <c r="E140" s="9">
        <v>7.1684341430664098</v>
      </c>
      <c r="F140" s="9">
        <v>1825.3</v>
      </c>
      <c r="G140" s="9">
        <v>3.1648929119110099</v>
      </c>
      <c r="H140" s="9">
        <v>453110.15625</v>
      </c>
      <c r="I140" s="9">
        <v>1800015.25</v>
      </c>
      <c r="J140" s="9">
        <v>0.96373230218887296</v>
      </c>
      <c r="K140" s="9">
        <v>0.44022360444068898</v>
      </c>
      <c r="L140" s="9" t="e">
        <f>IF(OR(OIT!#REF!="",OIT!#REF!=""),"",OIT!#REF!-OIT!#REF!)</f>
        <v>#REF!</v>
      </c>
      <c r="M140" s="9" t="e">
        <f>IF(OR(OIT!#REF!="",OIT!#REF!=""),"",OIT!#REF!-OIT!#REF!)</f>
        <v>#REF!</v>
      </c>
      <c r="N140" s="9" t="e">
        <f>IF(OR(OIT!#REF!="",OIT!#REF!=""),"",OIT!#REF!-OIT!#REF!)</f>
        <v>#REF!</v>
      </c>
      <c r="O140" s="9">
        <f t="shared" si="8"/>
        <v>13084.542841339118</v>
      </c>
      <c r="P140" s="9">
        <f t="shared" si="9"/>
        <v>63209.084049166566</v>
      </c>
      <c r="Q140" s="9">
        <f t="shared" si="10"/>
        <v>34.629422039755966</v>
      </c>
      <c r="R140" s="9">
        <f t="shared" si="11"/>
        <v>251102.99042658365</v>
      </c>
    </row>
    <row r="141" spans="1:18" ht="15.5">
      <c r="A141" s="7" t="s">
        <v>6</v>
      </c>
      <c r="B141" s="7" t="s">
        <v>7</v>
      </c>
      <c r="C141" s="8">
        <v>2021</v>
      </c>
      <c r="D141" s="9">
        <v>19.456333999999998</v>
      </c>
      <c r="E141" s="9">
        <v>7.5604729652404803</v>
      </c>
      <c r="F141" s="9">
        <v>1915.6</v>
      </c>
      <c r="G141" s="9">
        <v>3.1892220973968501</v>
      </c>
      <c r="H141" s="9">
        <v>504465.4375</v>
      </c>
      <c r="I141" s="9">
        <v>1868156.5</v>
      </c>
      <c r="J141" s="9">
        <v>1</v>
      </c>
      <c r="K141" s="9">
        <v>0.44022360444068898</v>
      </c>
      <c r="L141" s="9" t="e">
        <f>IF(OR(OIT!#REF!="",OIT!#REF!=""),"",OIT!#REF!-OIT!#REF!)</f>
        <v>#REF!</v>
      </c>
      <c r="M141" s="9" t="e">
        <f>IF(OR(OIT!#REF!="",OIT!#REF!=""),"",OIT!#REF!-OIT!#REF!)</f>
        <v>#REF!</v>
      </c>
      <c r="N141" s="9" t="e">
        <f>IF(OR(OIT!#REF!="",OIT!#REF!=""),"",OIT!#REF!-OIT!#REF!)</f>
        <v>#REF!</v>
      </c>
      <c r="O141" s="9">
        <f t="shared" si="8"/>
        <v>14482.842012214664</v>
      </c>
      <c r="P141" s="9">
        <f t="shared" si="9"/>
        <v>66724.058113731269</v>
      </c>
      <c r="Q141" s="9">
        <f t="shared" si="10"/>
        <v>34.831936789377359</v>
      </c>
      <c r="R141" s="9">
        <f t="shared" si="11"/>
        <v>247095.18949262964</v>
      </c>
    </row>
    <row r="142" spans="1:18" ht="15.5">
      <c r="A142" s="7" t="s">
        <v>6</v>
      </c>
      <c r="B142" s="7" t="s">
        <v>7</v>
      </c>
      <c r="C142" s="8">
        <v>2022</v>
      </c>
      <c r="D142" s="9">
        <v>19.553035999999999</v>
      </c>
      <c r="E142" s="9">
        <v>8.0715236663818395</v>
      </c>
      <c r="F142" s="9">
        <v>1962.64</v>
      </c>
      <c r="G142" s="9">
        <v>3.2139873504638699</v>
      </c>
      <c r="H142" s="9">
        <v>514851.0625</v>
      </c>
      <c r="I142" s="9">
        <v>1939398</v>
      </c>
      <c r="J142" s="9">
        <v>0.95525145530700695</v>
      </c>
      <c r="K142" s="9">
        <v>0.44022360444068898</v>
      </c>
      <c r="L142" s="9" t="e">
        <f>IF(OR(OIT!#REF!="",OIT!#REF!=""),"",OIT!#REF!-OIT!#REF!)</f>
        <v>#REF!</v>
      </c>
      <c r="M142" s="9" t="e">
        <f>IF(OR(OIT!#REF!="",OIT!#REF!=""),"",OIT!#REF!-OIT!#REF!)</f>
        <v>#REF!</v>
      </c>
      <c r="N142" s="9" t="e">
        <f>IF(OR(OIT!#REF!="",OIT!#REF!=""),"",OIT!#REF!-OIT!#REF!)</f>
        <v>#REF!</v>
      </c>
      <c r="O142" s="9">
        <f t="shared" si="8"/>
        <v>15841.495208587654</v>
      </c>
      <c r="P142" s="9">
        <f t="shared" si="9"/>
        <v>63786.105793677038</v>
      </c>
      <c r="Q142" s="9">
        <f t="shared" si="10"/>
        <v>32.500155807319246</v>
      </c>
      <c r="R142" s="9">
        <f t="shared" si="11"/>
        <v>240276.56736951118</v>
      </c>
    </row>
    <row r="143" spans="1:18" ht="15.5">
      <c r="A143" s="7" t="s">
        <v>6</v>
      </c>
      <c r="B143" s="7" t="s">
        <v>7</v>
      </c>
      <c r="C143" s="8">
        <v>2023</v>
      </c>
      <c r="D143" s="9">
        <v>19.658835</v>
      </c>
      <c r="E143" s="9">
        <v>8.2648344039916992</v>
      </c>
      <c r="F143" s="9">
        <v>1949.71</v>
      </c>
      <c r="G143" s="9">
        <v>3.2391991615295401</v>
      </c>
      <c r="H143" s="9">
        <v>515977.5</v>
      </c>
      <c r="I143" s="9">
        <v>2005060</v>
      </c>
      <c r="J143" s="9">
        <v>0.92895561456680298</v>
      </c>
      <c r="K143" s="9">
        <v>0.44022360444068898</v>
      </c>
      <c r="L143" s="9" t="e">
        <f>IF(OR(OIT!#REF!="",OIT!#REF!=""),"",OIT!#REF!-OIT!#REF!)</f>
        <v>#REF!</v>
      </c>
      <c r="M143" s="9" t="e">
        <f>IF(OR(OIT!#REF!="",OIT!#REF!=""),"",OIT!#REF!-OIT!#REF!)</f>
        <v>#REF!</v>
      </c>
      <c r="N143" s="9" t="e">
        <f>IF(OR(OIT!#REF!="",OIT!#REF!=""),"",OIT!#REF!-OIT!#REF!)</f>
        <v>#REF!</v>
      </c>
      <c r="O143" s="9">
        <f t="shared" si="8"/>
        <v>16114.030285806657</v>
      </c>
      <c r="P143" s="9">
        <f t="shared" si="9"/>
        <v>62430.470446061976</v>
      </c>
      <c r="Q143" s="9">
        <f t="shared" si="10"/>
        <v>32.020387876177466</v>
      </c>
      <c r="R143" s="9">
        <f t="shared" si="11"/>
        <v>242601.35194379798</v>
      </c>
    </row>
    <row r="144" spans="1:18" ht="15.5">
      <c r="A144" s="7" t="s">
        <v>6</v>
      </c>
      <c r="B144" s="7" t="s">
        <v>7</v>
      </c>
      <c r="C144" s="8">
        <v>2024</v>
      </c>
      <c r="D144" s="9"/>
      <c r="E144" s="9"/>
      <c r="F144" s="9"/>
      <c r="G144" s="9"/>
      <c r="H144" s="9"/>
      <c r="I144" s="9"/>
      <c r="J144" s="9"/>
      <c r="K144" s="9"/>
      <c r="L144" s="9" t="e">
        <f>IF(OR(OIT!#REF!="",OIT!#REF!=""),"",OIT!#REF!-OIT!#REF!)</f>
        <v>#REF!</v>
      </c>
      <c r="M144" s="9" t="e">
        <f>IF(OR(OIT!#REF!="",OIT!#REF!=""),"",OIT!#REF!-OIT!#REF!)</f>
        <v>#REF!</v>
      </c>
      <c r="N144" s="9" t="e">
        <f>IF(OR(OIT!#REF!="",OIT!#REF!=""),"",OIT!#REF!-OIT!#REF!)</f>
        <v>#REF!</v>
      </c>
      <c r="O144" s="9">
        <f t="shared" si="8"/>
        <v>0</v>
      </c>
      <c r="P144" s="9" t="str">
        <f t="shared" si="9"/>
        <v/>
      </c>
      <c r="Q144" s="9" t="str">
        <f t="shared" si="10"/>
        <v/>
      </c>
      <c r="R144" s="9" t="str">
        <f t="shared" si="11"/>
        <v/>
      </c>
    </row>
    <row r="145" spans="1:18" ht="15.5">
      <c r="A145" s="7" t="s">
        <v>6</v>
      </c>
      <c r="B145" s="7" t="s">
        <v>7</v>
      </c>
      <c r="C145" s="8">
        <v>2025</v>
      </c>
      <c r="D145" s="9"/>
      <c r="E145" s="9"/>
      <c r="F145" s="9"/>
      <c r="G145" s="9"/>
      <c r="H145" s="9"/>
      <c r="I145" s="9"/>
      <c r="J145" s="9"/>
      <c r="K145" s="9"/>
      <c r="L145" s="9" t="e">
        <f>IF(OR(OIT!#REF!="",OIT!#REF!=""),"",OIT!#REF!-OIT!#REF!)</f>
        <v>#REF!</v>
      </c>
      <c r="M145" s="9" t="e">
        <f>IF(OR(OIT!#REF!="",OIT!#REF!=""),"",OIT!#REF!-OIT!#REF!)</f>
        <v>#REF!</v>
      </c>
      <c r="N145" s="9" t="e">
        <f>IF(OR(OIT!#REF!="",OIT!#REF!=""),"",OIT!#REF!-OIT!#REF!)</f>
        <v>#REF!</v>
      </c>
      <c r="O145" s="9">
        <f t="shared" si="8"/>
        <v>0</v>
      </c>
      <c r="P145" s="9" t="str">
        <f t="shared" si="9"/>
        <v/>
      </c>
      <c r="Q145" s="9" t="str">
        <f t="shared" si="10"/>
        <v/>
      </c>
      <c r="R145" s="9" t="str">
        <f t="shared" si="11"/>
        <v/>
      </c>
    </row>
    <row r="146" spans="1:18" ht="15.5">
      <c r="A146" s="7" t="s">
        <v>8</v>
      </c>
      <c r="B146" s="7" t="s">
        <v>9</v>
      </c>
      <c r="C146" s="8">
        <v>1990</v>
      </c>
      <c r="D146" s="9">
        <v>32.440069000000001</v>
      </c>
      <c r="E146" s="9">
        <v>10.5054531097412</v>
      </c>
      <c r="F146" s="9">
        <v>2362.1999999999998</v>
      </c>
      <c r="G146" s="9">
        <v>1.9207303524017301</v>
      </c>
      <c r="H146" s="9">
        <v>306815.96875</v>
      </c>
      <c r="I146" s="9">
        <v>1032796.1875</v>
      </c>
      <c r="J146" s="9">
        <v>1.1099444627761801</v>
      </c>
      <c r="K146" s="9">
        <v>0.44840687513351402</v>
      </c>
      <c r="L146" s="9" t="e">
        <f>IF(OR(OIT!#REF!="",OIT!#REF!=""),"",OIT!#REF!-OIT!#REF!)</f>
        <v>#REF!</v>
      </c>
      <c r="M146" s="9" t="e">
        <f>IF(OR(OIT!#REF!="",OIT!#REF!=""),"",OIT!#REF!-OIT!#REF!)</f>
        <v>#REF!</v>
      </c>
      <c r="N146" s="9" t="e">
        <f>IF(OR(OIT!#REF!="",OIT!#REF!=""),"",OIT!#REF!-OIT!#REF!)</f>
        <v>#REF!</v>
      </c>
      <c r="O146" s="9">
        <f t="shared" si="8"/>
        <v>24815.98133583066</v>
      </c>
      <c r="P146" s="9">
        <f t="shared" si="9"/>
        <v>29205.400808985985</v>
      </c>
      <c r="Q146" s="9">
        <f t="shared" si="10"/>
        <v>12.363644403092875</v>
      </c>
      <c r="R146" s="9">
        <f t="shared" si="11"/>
        <v>98310.484727435309</v>
      </c>
    </row>
    <row r="147" spans="1:18" ht="15.5">
      <c r="A147" s="7" t="s">
        <v>8</v>
      </c>
      <c r="B147" s="7" t="s">
        <v>9</v>
      </c>
      <c r="C147" s="8">
        <v>1991</v>
      </c>
      <c r="D147" s="9">
        <v>33.098371999999998</v>
      </c>
      <c r="E147" s="9">
        <v>11.1938276290894</v>
      </c>
      <c r="F147" s="9">
        <v>2350.17</v>
      </c>
      <c r="G147" s="9">
        <v>1.94368135929108</v>
      </c>
      <c r="H147" s="9">
        <v>312957.21875</v>
      </c>
      <c r="I147" s="9">
        <v>1057712.875</v>
      </c>
      <c r="J147" s="9">
        <v>1.0839769840240501</v>
      </c>
      <c r="K147" s="9">
        <v>0.44645556807518</v>
      </c>
      <c r="L147" s="9" t="e">
        <f>IF(OR(OIT!#REF!="",OIT!#REF!=""),"",OIT!#REF!-OIT!#REF!)</f>
        <v>#REF!</v>
      </c>
      <c r="M147" s="9" t="e">
        <f>IF(OR(OIT!#REF!="",OIT!#REF!=""),"",OIT!#REF!-OIT!#REF!)</f>
        <v>#REF!</v>
      </c>
      <c r="N147" s="9" t="e">
        <f>IF(OR(OIT!#REF!="",OIT!#REF!=""),"",OIT!#REF!-OIT!#REF!)</f>
        <v>#REF!</v>
      </c>
      <c r="O147" s="9">
        <f t="shared" si="8"/>
        <v>26307.397879057036</v>
      </c>
      <c r="P147" s="9">
        <f t="shared" si="9"/>
        <v>27958.016607002064</v>
      </c>
      <c r="Q147" s="9">
        <f t="shared" si="10"/>
        <v>11.896167769566484</v>
      </c>
      <c r="R147" s="9">
        <f t="shared" si="11"/>
        <v>94490.723820985193</v>
      </c>
    </row>
    <row r="148" spans="1:18" ht="15.5">
      <c r="A148" s="7" t="s">
        <v>8</v>
      </c>
      <c r="B148" s="7" t="s">
        <v>9</v>
      </c>
      <c r="C148" s="8">
        <v>1992</v>
      </c>
      <c r="D148" s="9">
        <v>33.760570999999999</v>
      </c>
      <c r="E148" s="9">
        <v>11.3390913009644</v>
      </c>
      <c r="F148" s="9">
        <v>2338.21</v>
      </c>
      <c r="G148" s="9">
        <v>1.96690678596497</v>
      </c>
      <c r="H148" s="9">
        <v>325616.09375</v>
      </c>
      <c r="I148" s="9">
        <v>1090842.375</v>
      </c>
      <c r="J148" s="9">
        <v>1.098837018013</v>
      </c>
      <c r="K148" s="9">
        <v>0.47285085916519198</v>
      </c>
      <c r="L148" s="9" t="e">
        <f>IF(OR(OIT!#REF!="",OIT!#REF!=""),"",OIT!#REF!-OIT!#REF!)</f>
        <v>#REF!</v>
      </c>
      <c r="M148" s="9" t="e">
        <f>IF(OR(OIT!#REF!="",OIT!#REF!=""),"",OIT!#REF!-OIT!#REF!)</f>
        <v>#REF!</v>
      </c>
      <c r="N148" s="9" t="e">
        <f>IF(OR(OIT!#REF!="",OIT!#REF!=""),"",OIT!#REF!-OIT!#REF!)</f>
        <v>#REF!</v>
      </c>
      <c r="O148" s="9">
        <f t="shared" si="8"/>
        <v>26513.176670827968</v>
      </c>
      <c r="P148" s="9">
        <f t="shared" si="9"/>
        <v>28716.242343185477</v>
      </c>
      <c r="Q148" s="9">
        <f t="shared" si="10"/>
        <v>12.281293101639921</v>
      </c>
      <c r="R148" s="9">
        <f t="shared" si="11"/>
        <v>96201.92183365018</v>
      </c>
    </row>
    <row r="149" spans="1:18" ht="15.5">
      <c r="A149" s="7" t="s">
        <v>8</v>
      </c>
      <c r="B149" s="7" t="s">
        <v>9</v>
      </c>
      <c r="C149" s="8">
        <v>1993</v>
      </c>
      <c r="D149" s="9">
        <v>34.441473000000002</v>
      </c>
      <c r="E149" s="9">
        <v>12.053428649902299</v>
      </c>
      <c r="F149" s="9">
        <v>2353.75</v>
      </c>
      <c r="G149" s="9">
        <v>1.9904094934463501</v>
      </c>
      <c r="H149" s="9">
        <v>344209.34375</v>
      </c>
      <c r="I149" s="9">
        <v>1144227.5</v>
      </c>
      <c r="J149" s="9">
        <v>1.08255255222321</v>
      </c>
      <c r="K149" s="9">
        <v>0.46652883291244501</v>
      </c>
      <c r="L149" s="9" t="e">
        <f>IF(OR(OIT!#REF!="",OIT!#REF!=""),"",OIT!#REF!-OIT!#REF!)</f>
        <v>#REF!</v>
      </c>
      <c r="M149" s="9" t="e">
        <f>IF(OR(OIT!#REF!="",OIT!#REF!=""),"",OIT!#REF!-OIT!#REF!)</f>
        <v>#REF!</v>
      </c>
      <c r="N149" s="9" t="e">
        <f>IF(OR(OIT!#REF!="",OIT!#REF!=""),"",OIT!#REF!-OIT!#REF!)</f>
        <v>#REF!</v>
      </c>
      <c r="O149" s="9">
        <f t="shared" si="8"/>
        <v>28370.757684707536</v>
      </c>
      <c r="P149" s="9">
        <f t="shared" si="9"/>
        <v>28556.965304041521</v>
      </c>
      <c r="Q149" s="9">
        <f t="shared" si="10"/>
        <v>12.132539693697938</v>
      </c>
      <c r="R149" s="9">
        <f t="shared" si="11"/>
        <v>94929.628177562132</v>
      </c>
    </row>
    <row r="150" spans="1:18" ht="15.5">
      <c r="A150" s="7" t="s">
        <v>8</v>
      </c>
      <c r="B150" s="7" t="s">
        <v>9</v>
      </c>
      <c r="C150" s="8">
        <v>1994</v>
      </c>
      <c r="D150" s="9">
        <v>35.127409999999998</v>
      </c>
      <c r="E150" s="9">
        <v>12.520750045776399</v>
      </c>
      <c r="F150" s="9">
        <v>2369.4</v>
      </c>
      <c r="G150" s="9">
        <v>2.0141932964325</v>
      </c>
      <c r="H150" s="9">
        <v>361926.96875</v>
      </c>
      <c r="I150" s="9">
        <v>1204123.75</v>
      </c>
      <c r="J150" s="9">
        <v>1.0712755918502801</v>
      </c>
      <c r="K150" s="9">
        <v>0.50217437744140603</v>
      </c>
      <c r="L150" s="9" t="e">
        <f>IF(OR(OIT!#REF!="",OIT!#REF!=""),"",OIT!#REF!-OIT!#REF!)</f>
        <v>#REF!</v>
      </c>
      <c r="M150" s="9" t="e">
        <f>IF(OR(OIT!#REF!="",OIT!#REF!=""),"",OIT!#REF!-OIT!#REF!)</f>
        <v>#REF!</v>
      </c>
      <c r="N150" s="9" t="e">
        <f>IF(OR(OIT!#REF!="",OIT!#REF!=""),"",OIT!#REF!-OIT!#REF!)</f>
        <v>#REF!</v>
      </c>
      <c r="O150" s="9">
        <f t="shared" si="8"/>
        <v>29666.665158462602</v>
      </c>
      <c r="P150" s="9">
        <f t="shared" si="9"/>
        <v>28906.173146718804</v>
      </c>
      <c r="Q150" s="9">
        <f t="shared" si="10"/>
        <v>12.19978608370001</v>
      </c>
      <c r="R150" s="9">
        <f t="shared" si="11"/>
        <v>96170.257021158628</v>
      </c>
    </row>
    <row r="151" spans="1:18" ht="15.5">
      <c r="A151" s="7" t="s">
        <v>8</v>
      </c>
      <c r="B151" s="7" t="s">
        <v>9</v>
      </c>
      <c r="C151" s="8">
        <v>1995</v>
      </c>
      <c r="D151" s="9">
        <v>35.804662</v>
      </c>
      <c r="E151" s="9">
        <v>13.0954647064209</v>
      </c>
      <c r="F151" s="9">
        <v>2363.6799999999998</v>
      </c>
      <c r="G151" s="9">
        <v>2.0382611751556401</v>
      </c>
      <c r="H151" s="9">
        <v>380756</v>
      </c>
      <c r="I151" s="9">
        <v>1261209.625</v>
      </c>
      <c r="J151" s="9">
        <v>1.06746053695679</v>
      </c>
      <c r="K151" s="9">
        <v>0.49509388208389299</v>
      </c>
      <c r="L151" s="9" t="e">
        <f>IF(OR(OIT!#REF!="",OIT!#REF!=""),"",OIT!#REF!-OIT!#REF!)</f>
        <v>#REF!</v>
      </c>
      <c r="M151" s="9" t="e">
        <f>IF(OR(OIT!#REF!="",OIT!#REF!=""),"",OIT!#REF!-OIT!#REF!)</f>
        <v>#REF!</v>
      </c>
      <c r="N151" s="9" t="e">
        <f>IF(OR(OIT!#REF!="",OIT!#REF!=""),"",OIT!#REF!-OIT!#REF!)</f>
        <v>#REF!</v>
      </c>
      <c r="O151" s="9">
        <f t="shared" si="8"/>
        <v>30953.48801727295</v>
      </c>
      <c r="P151" s="9">
        <f t="shared" si="9"/>
        <v>29075.409581556101</v>
      </c>
      <c r="Q151" s="9">
        <f t="shared" si="10"/>
        <v>12.300907729284889</v>
      </c>
      <c r="R151" s="9">
        <f t="shared" si="11"/>
        <v>96308.886570601055</v>
      </c>
    </row>
    <row r="152" spans="1:18" ht="15.5">
      <c r="A152" s="7" t="s">
        <v>8</v>
      </c>
      <c r="B152" s="7" t="s">
        <v>9</v>
      </c>
      <c r="C152" s="8">
        <v>1996</v>
      </c>
      <c r="D152" s="9">
        <v>36.462744999999998</v>
      </c>
      <c r="E152" s="9">
        <v>13.3001823425293</v>
      </c>
      <c r="F152" s="9">
        <v>2357.9699999999998</v>
      </c>
      <c r="G152" s="9">
        <v>2.0626165866851802</v>
      </c>
      <c r="H152" s="9">
        <v>388583.8125</v>
      </c>
      <c r="I152" s="9">
        <v>1314146</v>
      </c>
      <c r="J152" s="9">
        <v>1.0513504743576101</v>
      </c>
      <c r="K152" s="9">
        <v>0.50504481792449996</v>
      </c>
      <c r="L152" s="9" t="e">
        <f>IF(OR(OIT!#REF!="",OIT!#REF!=""),"",OIT!#REF!-OIT!#REF!)</f>
        <v>#REF!</v>
      </c>
      <c r="M152" s="9" t="e">
        <f>IF(OR(OIT!#REF!="",OIT!#REF!=""),"",OIT!#REF!-OIT!#REF!)</f>
        <v>#REF!</v>
      </c>
      <c r="N152" s="9" t="e">
        <f>IF(OR(OIT!#REF!="",OIT!#REF!=""),"",OIT!#REF!-OIT!#REF!)</f>
        <v>#REF!</v>
      </c>
      <c r="O152" s="9">
        <f t="shared" si="8"/>
        <v>31361.430958213812</v>
      </c>
      <c r="P152" s="9">
        <f t="shared" si="9"/>
        <v>29216.427451332434</v>
      </c>
      <c r="Q152" s="9">
        <f t="shared" si="10"/>
        <v>12.390500070540524</v>
      </c>
      <c r="R152" s="9">
        <f t="shared" si="11"/>
        <v>98806.61528961327</v>
      </c>
    </row>
    <row r="153" spans="1:18" ht="15.5">
      <c r="A153" s="7" t="s">
        <v>8</v>
      </c>
      <c r="B153" s="7" t="s">
        <v>9</v>
      </c>
      <c r="C153" s="8">
        <v>1997</v>
      </c>
      <c r="D153" s="9">
        <v>37.121149000000003</v>
      </c>
      <c r="E153" s="9">
        <v>13.5767011642456</v>
      </c>
      <c r="F153" s="9">
        <v>2352.2800000000002</v>
      </c>
      <c r="G153" s="9">
        <v>2.0872631072997998</v>
      </c>
      <c r="H153" s="9">
        <v>401913.40625</v>
      </c>
      <c r="I153" s="9">
        <v>1362791.625</v>
      </c>
      <c r="J153" s="9">
        <v>1.0489387512207</v>
      </c>
      <c r="K153" s="9">
        <v>0.50329983234405495</v>
      </c>
      <c r="L153" s="9" t="e">
        <f>IF(OR(OIT!#REF!="",OIT!#REF!=""),"",OIT!#REF!-OIT!#REF!)</f>
        <v>#REF!</v>
      </c>
      <c r="M153" s="9" t="e">
        <f>IF(OR(OIT!#REF!="",OIT!#REF!=""),"",OIT!#REF!-OIT!#REF!)</f>
        <v>#REF!</v>
      </c>
      <c r="N153" s="9" t="e">
        <f>IF(OR(OIT!#REF!="",OIT!#REF!=""),"",OIT!#REF!-OIT!#REF!)</f>
        <v>#REF!</v>
      </c>
      <c r="O153" s="9">
        <f t="shared" si="8"/>
        <v>31936.202614631642</v>
      </c>
      <c r="P153" s="9">
        <f t="shared" si="9"/>
        <v>29603.1710050777</v>
      </c>
      <c r="Q153" s="9">
        <f t="shared" si="10"/>
        <v>12.584884029570331</v>
      </c>
      <c r="R153" s="9">
        <f t="shared" si="11"/>
        <v>100377.22776052017</v>
      </c>
    </row>
    <row r="154" spans="1:18" ht="15.5">
      <c r="A154" s="7" t="s">
        <v>8</v>
      </c>
      <c r="B154" s="7" t="s">
        <v>9</v>
      </c>
      <c r="C154" s="8">
        <v>1998</v>
      </c>
      <c r="D154" s="9">
        <v>37.792164999999997</v>
      </c>
      <c r="E154" s="9">
        <v>13.599688529968301</v>
      </c>
      <c r="F154" s="9">
        <v>2346.6</v>
      </c>
      <c r="G154" s="9">
        <v>2.11220407485962</v>
      </c>
      <c r="H154" s="9">
        <v>404203.40625</v>
      </c>
      <c r="I154" s="9">
        <v>1403873.25</v>
      </c>
      <c r="J154" s="9">
        <v>1.0312972068786601</v>
      </c>
      <c r="K154" s="9">
        <v>0.50098127126693703</v>
      </c>
      <c r="L154" s="9" t="e">
        <f>IF(OR(OIT!#REF!="",OIT!#REF!=""),"",OIT!#REF!-OIT!#REF!)</f>
        <v>#REF!</v>
      </c>
      <c r="M154" s="9" t="e">
        <f>IF(OR(OIT!#REF!="",OIT!#REF!=""),"",OIT!#REF!-OIT!#REF!)</f>
        <v>#REF!</v>
      </c>
      <c r="N154" s="9" t="e">
        <f>IF(OR(OIT!#REF!="",OIT!#REF!=""),"",OIT!#REF!-OIT!#REF!)</f>
        <v>#REF!</v>
      </c>
      <c r="O154" s="9">
        <f t="shared" si="8"/>
        <v>31913.029104423615</v>
      </c>
      <c r="P154" s="9">
        <f t="shared" si="9"/>
        <v>29721.519383278268</v>
      </c>
      <c r="Q154" s="9">
        <f t="shared" si="10"/>
        <v>12.66578001503378</v>
      </c>
      <c r="R154" s="9">
        <f t="shared" si="11"/>
        <v>103228.33842160592</v>
      </c>
    </row>
    <row r="155" spans="1:18" ht="15.5">
      <c r="A155" s="7" t="s">
        <v>8</v>
      </c>
      <c r="B155" s="7" t="s">
        <v>9</v>
      </c>
      <c r="C155" s="8">
        <v>1999</v>
      </c>
      <c r="D155" s="9">
        <v>38.454863000000003</v>
      </c>
      <c r="E155" s="9">
        <v>13.3980197906494</v>
      </c>
      <c r="F155" s="9">
        <v>2346.6</v>
      </c>
      <c r="G155" s="9">
        <v>2.1374430656433101</v>
      </c>
      <c r="H155" s="9">
        <v>387210.65625</v>
      </c>
      <c r="I155" s="9">
        <v>1408990.125</v>
      </c>
      <c r="J155" s="9">
        <v>0.98727506399154696</v>
      </c>
      <c r="K155" s="9">
        <v>0.49570742249488797</v>
      </c>
      <c r="L155" s="9" t="e">
        <f>IF(OR(OIT!#REF!="",OIT!#REF!=""),"",OIT!#REF!-OIT!#REF!)</f>
        <v>#REF!</v>
      </c>
      <c r="M155" s="9" t="e">
        <f>IF(OR(OIT!#REF!="",OIT!#REF!=""),"",OIT!#REF!-OIT!#REF!)</f>
        <v>#REF!</v>
      </c>
      <c r="N155" s="9" t="e">
        <f>IF(OR(OIT!#REF!="",OIT!#REF!=""),"",OIT!#REF!-OIT!#REF!)</f>
        <v>#REF!</v>
      </c>
      <c r="O155" s="9">
        <f t="shared" si="8"/>
        <v>31439.793240737879</v>
      </c>
      <c r="P155" s="9">
        <f t="shared" si="9"/>
        <v>28900.588467576221</v>
      </c>
      <c r="Q155" s="9">
        <f t="shared" si="10"/>
        <v>12.315941561227403</v>
      </c>
      <c r="R155" s="9">
        <f t="shared" si="11"/>
        <v>105164.05760076179</v>
      </c>
    </row>
    <row r="156" spans="1:18" ht="15.5">
      <c r="A156" s="7" t="s">
        <v>8</v>
      </c>
      <c r="B156" s="7" t="s">
        <v>9</v>
      </c>
      <c r="C156" s="8">
        <v>2000</v>
      </c>
      <c r="D156" s="9">
        <v>39.089934</v>
      </c>
      <c r="E156" s="9">
        <v>14.2371225357056</v>
      </c>
      <c r="F156" s="9">
        <v>2346.6</v>
      </c>
      <c r="G156" s="9">
        <v>2.1629836559295699</v>
      </c>
      <c r="H156" s="9">
        <v>398536</v>
      </c>
      <c r="I156" s="9">
        <v>1412782.5</v>
      </c>
      <c r="J156" s="9">
        <v>0.97911530733108498</v>
      </c>
      <c r="K156" s="9">
        <v>0.47669303417205799</v>
      </c>
      <c r="L156" s="9" t="e">
        <f>IF(OR(OIT!#REF!="",OIT!#REF!=""),"",OIT!#REF!-OIT!#REF!)</f>
        <v>#REF!</v>
      </c>
      <c r="M156" s="9" t="e">
        <f>IF(OR(OIT!#REF!="",OIT!#REF!=""),"",OIT!#REF!-OIT!#REF!)</f>
        <v>#REF!</v>
      </c>
      <c r="N156" s="9" t="e">
        <f>IF(OR(OIT!#REF!="",OIT!#REF!=""),"",OIT!#REF!-OIT!#REF!)</f>
        <v>#REF!</v>
      </c>
      <c r="O156" s="9">
        <f t="shared" si="8"/>
        <v>33408.831742286762</v>
      </c>
      <c r="P156" s="9">
        <f t="shared" si="9"/>
        <v>27992.735119087625</v>
      </c>
      <c r="Q156" s="9">
        <f t="shared" si="10"/>
        <v>11.929061245669319</v>
      </c>
      <c r="R156" s="9">
        <f t="shared" si="11"/>
        <v>99232.305998410215</v>
      </c>
    </row>
    <row r="157" spans="1:18" ht="15.5">
      <c r="A157" s="7" t="s">
        <v>8</v>
      </c>
      <c r="B157" s="7" t="s">
        <v>9</v>
      </c>
      <c r="C157" s="8">
        <v>2001</v>
      </c>
      <c r="D157" s="9">
        <v>39.709262000000003</v>
      </c>
      <c r="E157" s="9">
        <v>14.333671569824199</v>
      </c>
      <c r="F157" s="9">
        <v>2346.6</v>
      </c>
      <c r="G157" s="9">
        <v>2.1843111515045202</v>
      </c>
      <c r="H157" s="9">
        <v>405223.03125</v>
      </c>
      <c r="I157" s="9">
        <v>1423465.625</v>
      </c>
      <c r="J157" s="9">
        <v>0.98241573572158802</v>
      </c>
      <c r="K157" s="9">
        <v>0.48232945799827598</v>
      </c>
      <c r="L157" s="9" t="e">
        <f>IF(OR(OIT!#REF!="",OIT!#REF!=""),"",OIT!#REF!-OIT!#REF!)</f>
        <v>#REF!</v>
      </c>
      <c r="M157" s="9" t="e">
        <f>IF(OR(OIT!#REF!="",OIT!#REF!=""),"",OIT!#REF!-OIT!#REF!)</f>
        <v>#REF!</v>
      </c>
      <c r="N157" s="9" t="e">
        <f>IF(OR(OIT!#REF!="",OIT!#REF!=""),"",OIT!#REF!-OIT!#REF!)</f>
        <v>#REF!</v>
      </c>
      <c r="O157" s="9">
        <f t="shared" si="8"/>
        <v>33635.393705749462</v>
      </c>
      <c r="P157" s="9">
        <f t="shared" si="9"/>
        <v>28270.707144085205</v>
      </c>
      <c r="Q157" s="9">
        <f t="shared" si="10"/>
        <v>12.047518598860142</v>
      </c>
      <c r="R157" s="9">
        <f t="shared" si="11"/>
        <v>99309.211744235508</v>
      </c>
    </row>
    <row r="158" spans="1:18" ht="15.5">
      <c r="A158" s="7" t="s">
        <v>8</v>
      </c>
      <c r="B158" s="7" t="s">
        <v>9</v>
      </c>
      <c r="C158" s="8">
        <v>2002</v>
      </c>
      <c r="D158" s="9">
        <v>40.324680000000001</v>
      </c>
      <c r="E158" s="9">
        <v>14.6815271377563</v>
      </c>
      <c r="F158" s="9">
        <v>2438.13</v>
      </c>
      <c r="G158" s="9">
        <v>2.2058489322662398</v>
      </c>
      <c r="H158" s="9">
        <v>415369.71875</v>
      </c>
      <c r="I158" s="9">
        <v>1442765.875</v>
      </c>
      <c r="J158" s="9">
        <v>0.96400123834609996</v>
      </c>
      <c r="K158" s="9">
        <v>0.488565623760223</v>
      </c>
      <c r="L158" s="9" t="e">
        <f>IF(OR(OIT!#REF!="",OIT!#REF!=""),"",OIT!#REF!-OIT!#REF!)</f>
        <v>#REF!</v>
      </c>
      <c r="M158" s="9" t="e">
        <f>IF(OR(OIT!#REF!="",OIT!#REF!=""),"",OIT!#REF!-OIT!#REF!)</f>
        <v>#REF!</v>
      </c>
      <c r="N158" s="9" t="e">
        <f>IF(OR(OIT!#REF!="",OIT!#REF!=""),"",OIT!#REF!-OIT!#REF!)</f>
        <v>#REF!</v>
      </c>
      <c r="O158" s="9">
        <f t="shared" si="8"/>
        <v>35795.471760377768</v>
      </c>
      <c r="P158" s="9">
        <f t="shared" si="9"/>
        <v>28291.996796559324</v>
      </c>
      <c r="Q158" s="9">
        <f t="shared" si="10"/>
        <v>11.60397386380518</v>
      </c>
      <c r="R158" s="9">
        <f t="shared" si="11"/>
        <v>98270.83119232583</v>
      </c>
    </row>
    <row r="159" spans="1:18" ht="15.5">
      <c r="A159" s="7" t="s">
        <v>8</v>
      </c>
      <c r="B159" s="7" t="s">
        <v>9</v>
      </c>
      <c r="C159" s="8">
        <v>2003</v>
      </c>
      <c r="D159" s="9">
        <v>40.937429000000002</v>
      </c>
      <c r="E159" s="9">
        <v>15.246301651001</v>
      </c>
      <c r="F159" s="9">
        <v>2418.88</v>
      </c>
      <c r="G159" s="9">
        <v>2.22759914398193</v>
      </c>
      <c r="H159" s="9">
        <v>431645.03125</v>
      </c>
      <c r="I159" s="9">
        <v>1471821.375</v>
      </c>
      <c r="J159" s="9">
        <v>0.96952617168426503</v>
      </c>
      <c r="K159" s="9">
        <v>0.47676706314086897</v>
      </c>
      <c r="L159" s="9" t="e">
        <f>IF(OR(OIT!#REF!="",OIT!#REF!=""),"",OIT!#REF!-OIT!#REF!)</f>
        <v>#REF!</v>
      </c>
      <c r="M159" s="9" t="e">
        <f>IF(OR(OIT!#REF!="",OIT!#REF!=""),"",OIT!#REF!-OIT!#REF!)</f>
        <v>#REF!</v>
      </c>
      <c r="N159" s="9" t="e">
        <f>IF(OR(OIT!#REF!="",OIT!#REF!=""),"",OIT!#REF!-OIT!#REF!)</f>
        <v>#REF!</v>
      </c>
      <c r="O159" s="9">
        <f t="shared" si="8"/>
        <v>36878.974137573299</v>
      </c>
      <c r="P159" s="9">
        <f t="shared" si="9"/>
        <v>28311.458157569657</v>
      </c>
      <c r="Q159" s="9">
        <f t="shared" si="10"/>
        <v>11.704366548803437</v>
      </c>
      <c r="R159" s="9">
        <f t="shared" si="11"/>
        <v>96536.288517115041</v>
      </c>
    </row>
    <row r="160" spans="1:18" ht="15.5">
      <c r="A160" s="7" t="s">
        <v>8</v>
      </c>
      <c r="B160" s="7" t="s">
        <v>9</v>
      </c>
      <c r="C160" s="8">
        <v>2004</v>
      </c>
      <c r="D160" s="9">
        <v>41.543171000000001</v>
      </c>
      <c r="E160" s="9">
        <v>15.829068183898899</v>
      </c>
      <c r="F160" s="9">
        <v>2404.5</v>
      </c>
      <c r="G160" s="9">
        <v>2.2495639324188201</v>
      </c>
      <c r="H160" s="9">
        <v>454664.78125</v>
      </c>
      <c r="I160" s="9">
        <v>1508649.5</v>
      </c>
      <c r="J160" s="9">
        <v>0.98629647493362405</v>
      </c>
      <c r="K160" s="9">
        <v>0.46785870194435097</v>
      </c>
      <c r="L160" s="9" t="e">
        <f>IF(OR(OIT!#REF!="",OIT!#REF!=""),"",OIT!#REF!-OIT!#REF!)</f>
        <v>#REF!</v>
      </c>
      <c r="M160" s="9" t="e">
        <f>IF(OR(OIT!#REF!="",OIT!#REF!=""),"",OIT!#REF!-OIT!#REF!)</f>
        <v>#REF!</v>
      </c>
      <c r="N160" s="9" t="e">
        <f>IF(OR(OIT!#REF!="",OIT!#REF!=""),"",OIT!#REF!-OIT!#REF!)</f>
        <v>#REF!</v>
      </c>
      <c r="O160" s="9">
        <f t="shared" si="8"/>
        <v>38060.994448184902</v>
      </c>
      <c r="P160" s="9">
        <f t="shared" si="9"/>
        <v>28723.407844845755</v>
      </c>
      <c r="Q160" s="9">
        <f t="shared" si="10"/>
        <v>11.945688436201188</v>
      </c>
      <c r="R160" s="9">
        <f t="shared" si="11"/>
        <v>95308.800396385719</v>
      </c>
    </row>
    <row r="161" spans="1:18" ht="15.5">
      <c r="A161" s="7" t="s">
        <v>8</v>
      </c>
      <c r="B161" s="7" t="s">
        <v>9</v>
      </c>
      <c r="C161" s="8">
        <v>2005</v>
      </c>
      <c r="D161" s="9">
        <v>42.128976999999999</v>
      </c>
      <c r="E161" s="9">
        <v>16.476457595825199</v>
      </c>
      <c r="F161" s="9">
        <v>2416.1</v>
      </c>
      <c r="G161" s="9">
        <v>2.2717452049255402</v>
      </c>
      <c r="H161" s="9">
        <v>476063.84375</v>
      </c>
      <c r="I161" s="9">
        <v>1556119.125</v>
      </c>
      <c r="J161" s="9">
        <v>0.98604935407638605</v>
      </c>
      <c r="K161" s="9">
        <v>0.46635890007018999</v>
      </c>
      <c r="L161" s="9" t="e">
        <f>IF(OR(OIT!#REF!="",OIT!#REF!=""),"",OIT!#REF!-OIT!#REF!)</f>
        <v>#REF!</v>
      </c>
      <c r="M161" s="9" t="e">
        <f>IF(OR(OIT!#REF!="",OIT!#REF!=""),"",OIT!#REF!-OIT!#REF!)</f>
        <v>#REF!</v>
      </c>
      <c r="N161" s="9" t="e">
        <f>IF(OR(OIT!#REF!="",OIT!#REF!=""),"",OIT!#REF!-OIT!#REF!)</f>
        <v>#REF!</v>
      </c>
      <c r="O161" s="9">
        <f t="shared" si="8"/>
        <v>39808.769197273265</v>
      </c>
      <c r="P161" s="9">
        <f t="shared" si="9"/>
        <v>28893.579883980943</v>
      </c>
      <c r="Q161" s="9">
        <f t="shared" si="10"/>
        <v>11.958768214883881</v>
      </c>
      <c r="R161" s="9">
        <f t="shared" si="11"/>
        <v>94445.005302249498</v>
      </c>
    </row>
    <row r="162" spans="1:18" ht="15.5">
      <c r="A162" s="7" t="s">
        <v>8</v>
      </c>
      <c r="B162" s="7" t="s">
        <v>9</v>
      </c>
      <c r="C162" s="8">
        <v>2006</v>
      </c>
      <c r="D162" s="9">
        <v>42.691083999999996</v>
      </c>
      <c r="E162" s="9">
        <v>17.057182312011701</v>
      </c>
      <c r="F162" s="9">
        <v>2444.5700000000002</v>
      </c>
      <c r="G162" s="9">
        <v>2.2941451072692902</v>
      </c>
      <c r="H162" s="9">
        <v>508040.375</v>
      </c>
      <c r="I162" s="9">
        <v>1620708.875</v>
      </c>
      <c r="J162" s="9">
        <v>0.99508196115493797</v>
      </c>
      <c r="K162" s="9">
        <v>0.46865534782409701</v>
      </c>
      <c r="L162" s="9" t="e">
        <f>IF(OR(OIT!#REF!="",OIT!#REF!=""),"",OIT!#REF!-OIT!#REF!)</f>
        <v>#REF!</v>
      </c>
      <c r="M162" s="9" t="e">
        <f>IF(OR(OIT!#REF!="",OIT!#REF!=""),"",OIT!#REF!-OIT!#REF!)</f>
        <v>#REF!</v>
      </c>
      <c r="N162" s="9" t="e">
        <f>IF(OR(OIT!#REF!="",OIT!#REF!=""),"",OIT!#REF!-OIT!#REF!)</f>
        <v>#REF!</v>
      </c>
      <c r="O162" s="9">
        <f t="shared" si="8"/>
        <v>41697.476164474443</v>
      </c>
      <c r="P162" s="9">
        <f t="shared" si="9"/>
        <v>29784.542705053751</v>
      </c>
      <c r="Q162" s="9">
        <f t="shared" si="10"/>
        <v>12.183959839584775</v>
      </c>
      <c r="R162" s="9">
        <f t="shared" si="11"/>
        <v>95016.213425748152</v>
      </c>
    </row>
    <row r="163" spans="1:18" ht="15.5">
      <c r="A163" s="7" t="s">
        <v>8</v>
      </c>
      <c r="B163" s="7" t="s">
        <v>9</v>
      </c>
      <c r="C163" s="8">
        <v>2007</v>
      </c>
      <c r="D163" s="9">
        <v>43.235374</v>
      </c>
      <c r="E163" s="9">
        <v>17.972843170166001</v>
      </c>
      <c r="F163" s="9">
        <v>2473.38</v>
      </c>
      <c r="G163" s="9">
        <v>2.3167660236358598</v>
      </c>
      <c r="H163" s="9">
        <v>542273.125</v>
      </c>
      <c r="I163" s="9">
        <v>1702756.625</v>
      </c>
      <c r="J163" s="9">
        <v>0.99153178930282604</v>
      </c>
      <c r="K163" s="9">
        <v>0.47396832704544101</v>
      </c>
      <c r="L163" s="9" t="e">
        <f>IF(OR(OIT!#REF!="",OIT!#REF!=""),"",OIT!#REF!-OIT!#REF!)</f>
        <v>#REF!</v>
      </c>
      <c r="M163" s="9" t="e">
        <f>IF(OR(OIT!#REF!="",OIT!#REF!=""),"",OIT!#REF!-OIT!#REF!)</f>
        <v>#REF!</v>
      </c>
      <c r="N163" s="9" t="e">
        <f>IF(OR(OIT!#REF!="",OIT!#REF!=""),"",OIT!#REF!-OIT!#REF!)</f>
        <v>#REF!</v>
      </c>
      <c r="O163" s="9">
        <f t="shared" si="8"/>
        <v>44453.67084022519</v>
      </c>
      <c r="P163" s="9">
        <f t="shared" si="9"/>
        <v>30171.805310144005</v>
      </c>
      <c r="Q163" s="9">
        <f t="shared" si="10"/>
        <v>12.198612954800314</v>
      </c>
      <c r="R163" s="9">
        <f t="shared" si="11"/>
        <v>94740.52651983792</v>
      </c>
    </row>
    <row r="164" spans="1:18" ht="15.5">
      <c r="A164" s="7" t="s">
        <v>8</v>
      </c>
      <c r="B164" s="7" t="s">
        <v>9</v>
      </c>
      <c r="C164" s="8">
        <v>2008</v>
      </c>
      <c r="D164" s="9">
        <v>43.758808000000002</v>
      </c>
      <c r="E164" s="9">
        <v>18.254552841186499</v>
      </c>
      <c r="F164" s="9">
        <v>2502.52</v>
      </c>
      <c r="G164" s="9">
        <v>2.3396098613739</v>
      </c>
      <c r="H164" s="9">
        <v>560078.4375</v>
      </c>
      <c r="I164" s="9">
        <v>1771569</v>
      </c>
      <c r="J164" s="9">
        <v>0.97869986295700095</v>
      </c>
      <c r="K164" s="9">
        <v>0.46206691861152699</v>
      </c>
      <c r="L164" s="9" t="e">
        <f>IF(OR(OIT!#REF!="",OIT!#REF!=""),"",OIT!#REF!-OIT!#REF!)</f>
        <v>#REF!</v>
      </c>
      <c r="M164" s="9" t="e">
        <f>IF(OR(OIT!#REF!="",OIT!#REF!=""),"",OIT!#REF!-OIT!#REF!)</f>
        <v>#REF!</v>
      </c>
      <c r="N164" s="9" t="e">
        <f>IF(OR(OIT!#REF!="",OIT!#REF!=""),"",OIT!#REF!-OIT!#REF!)</f>
        <v>#REF!</v>
      </c>
      <c r="O164" s="9">
        <f t="shared" si="8"/>
        <v>45682.383576126034</v>
      </c>
      <c r="P164" s="9">
        <f t="shared" si="9"/>
        <v>30681.575296456089</v>
      </c>
      <c r="Q164" s="9">
        <f t="shared" si="10"/>
        <v>12.260271764643676</v>
      </c>
      <c r="R164" s="9">
        <f t="shared" si="11"/>
        <v>97048.063319465713</v>
      </c>
    </row>
    <row r="165" spans="1:18" ht="15.5">
      <c r="A165" s="7" t="s">
        <v>8</v>
      </c>
      <c r="B165" s="7" t="s">
        <v>9</v>
      </c>
      <c r="C165" s="8">
        <v>2009</v>
      </c>
      <c r="D165" s="9">
        <v>44.271540999999999</v>
      </c>
      <c r="E165" s="9">
        <v>18.429765701293899</v>
      </c>
      <c r="F165" s="9">
        <v>2460.84</v>
      </c>
      <c r="G165" s="9">
        <v>2.3626790046691899</v>
      </c>
      <c r="H165" s="9">
        <v>566461.3125</v>
      </c>
      <c r="I165" s="9">
        <v>1841114.875</v>
      </c>
      <c r="J165" s="9">
        <v>0.96588093042373702</v>
      </c>
      <c r="K165" s="9">
        <v>0.47274565696716297</v>
      </c>
      <c r="L165" s="9" t="e">
        <f>IF(OR(OIT!#REF!="",OIT!#REF!=""),"",OIT!#REF!-OIT!#REF!)</f>
        <v>#REF!</v>
      </c>
      <c r="M165" s="9" t="e">
        <f>IF(OR(OIT!#REF!="",OIT!#REF!=""),"",OIT!#REF!-OIT!#REF!)</f>
        <v>#REF!</v>
      </c>
      <c r="N165" s="9" t="e">
        <f>IF(OR(OIT!#REF!="",OIT!#REF!=""),"",OIT!#REF!-OIT!#REF!)</f>
        <v>#REF!</v>
      </c>
      <c r="O165" s="9">
        <f t="shared" si="8"/>
        <v>45352.704628372085</v>
      </c>
      <c r="P165" s="9">
        <f t="shared" si="9"/>
        <v>30736.218879886816</v>
      </c>
      <c r="Q165" s="9">
        <f t="shared" si="10"/>
        <v>12.490132995191402</v>
      </c>
      <c r="R165" s="9">
        <f t="shared" si="11"/>
        <v>99898.984330047169</v>
      </c>
    </row>
    <row r="166" spans="1:18" ht="15.5">
      <c r="A166" s="7" t="s">
        <v>8</v>
      </c>
      <c r="B166" s="7" t="s">
        <v>9</v>
      </c>
      <c r="C166" s="8">
        <v>2010</v>
      </c>
      <c r="D166" s="9">
        <v>44.777318999999999</v>
      </c>
      <c r="E166" s="9">
        <v>18.891344070434599</v>
      </c>
      <c r="F166" s="9">
        <v>2453.9</v>
      </c>
      <c r="G166" s="9">
        <v>2.38597559928894</v>
      </c>
      <c r="H166" s="9">
        <v>591921.8125</v>
      </c>
      <c r="I166" s="9">
        <v>1916421.25</v>
      </c>
      <c r="J166" s="9">
        <v>0.97018915414810203</v>
      </c>
      <c r="K166" s="9">
        <v>0.46874320507049599</v>
      </c>
      <c r="L166" s="9" t="e">
        <f>IF(OR(OIT!#REF!="",OIT!#REF!=""),"",OIT!#REF!-OIT!#REF!)</f>
        <v>#REF!</v>
      </c>
      <c r="M166" s="9" t="e">
        <f>IF(OR(OIT!#REF!="",OIT!#REF!=""),"",OIT!#REF!-OIT!#REF!)</f>
        <v>#REF!</v>
      </c>
      <c r="N166" s="9" t="e">
        <f>IF(OR(OIT!#REF!="",OIT!#REF!=""),"",OIT!#REF!-OIT!#REF!)</f>
        <v>#REF!</v>
      </c>
      <c r="O166" s="9">
        <f t="shared" si="8"/>
        <v>46357.469214439465</v>
      </c>
      <c r="P166" s="9">
        <f t="shared" si="9"/>
        <v>31332.964467381211</v>
      </c>
      <c r="Q166" s="9">
        <f t="shared" si="10"/>
        <v>12.768639499319942</v>
      </c>
      <c r="R166" s="9">
        <f t="shared" si="11"/>
        <v>101444.40982361042</v>
      </c>
    </row>
    <row r="167" spans="1:18" ht="15.5">
      <c r="A167" s="7" t="s">
        <v>8</v>
      </c>
      <c r="B167" s="7" t="s">
        <v>9</v>
      </c>
      <c r="C167" s="8">
        <v>2011</v>
      </c>
      <c r="D167" s="9">
        <v>45.259613999999999</v>
      </c>
      <c r="E167" s="9">
        <v>19.4976921081543</v>
      </c>
      <c r="F167" s="9">
        <v>2435.02</v>
      </c>
      <c r="G167" s="9">
        <v>2.41068816184998</v>
      </c>
      <c r="H167" s="9">
        <v>633047.9375</v>
      </c>
      <c r="I167" s="9">
        <v>2002981.125</v>
      </c>
      <c r="J167" s="9">
        <v>0.99051141738891602</v>
      </c>
      <c r="K167" s="9">
        <v>0.44520941376686102</v>
      </c>
      <c r="L167" s="9" t="e">
        <f>IF(OR(OIT!#REF!="",OIT!#REF!=""),"",OIT!#REF!-OIT!#REF!)</f>
        <v>#REF!</v>
      </c>
      <c r="M167" s="9" t="e">
        <f>IF(OR(OIT!#REF!="",OIT!#REF!=""),"",OIT!#REF!-OIT!#REF!)</f>
        <v>#REF!</v>
      </c>
      <c r="N167" s="9" t="e">
        <f>IF(OR(OIT!#REF!="",OIT!#REF!=""),"",OIT!#REF!-OIT!#REF!)</f>
        <v>#REF!</v>
      </c>
      <c r="O167" s="9">
        <f t="shared" si="8"/>
        <v>47477.270237197881</v>
      </c>
      <c r="P167" s="9">
        <f t="shared" si="9"/>
        <v>32467.839474972912</v>
      </c>
      <c r="Q167" s="9">
        <f t="shared" si="10"/>
        <v>13.333705462367009</v>
      </c>
      <c r="R167" s="9">
        <f t="shared" si="11"/>
        <v>102729.13911499894</v>
      </c>
    </row>
    <row r="168" spans="1:18" ht="15.5">
      <c r="A168" s="7" t="s">
        <v>8</v>
      </c>
      <c r="B168" s="7" t="s">
        <v>9</v>
      </c>
      <c r="C168" s="8">
        <v>2012</v>
      </c>
      <c r="D168" s="9">
        <v>45.715809999999998</v>
      </c>
      <c r="E168" s="9">
        <v>19.9761848449707</v>
      </c>
      <c r="F168" s="9">
        <v>2419.69</v>
      </c>
      <c r="G168" s="9">
        <v>2.4356567859649698</v>
      </c>
      <c r="H168" s="9">
        <v>657816.75</v>
      </c>
      <c r="I168" s="9">
        <v>2086343.625</v>
      </c>
      <c r="J168" s="9">
        <v>0.990017950534821</v>
      </c>
      <c r="K168" s="9">
        <v>0.45572942495346103</v>
      </c>
      <c r="L168" s="9" t="e">
        <f>IF(OR(OIT!#REF!="",OIT!#REF!=""),"",OIT!#REF!-OIT!#REF!)</f>
        <v>#REF!</v>
      </c>
      <c r="M168" s="9" t="e">
        <f>IF(OR(OIT!#REF!="",OIT!#REF!=""),"",OIT!#REF!-OIT!#REF!)</f>
        <v>#REF!</v>
      </c>
      <c r="N168" s="9" t="e">
        <f>IF(OR(OIT!#REF!="",OIT!#REF!=""),"",OIT!#REF!-OIT!#REF!)</f>
        <v>#REF!</v>
      </c>
      <c r="O168" s="9">
        <f t="shared" si="8"/>
        <v>48336.174707527156</v>
      </c>
      <c r="P168" s="9">
        <f t="shared" si="9"/>
        <v>32930.049211354548</v>
      </c>
      <c r="Q168" s="9">
        <f t="shared" si="10"/>
        <v>13.60920167928724</v>
      </c>
      <c r="R168" s="9">
        <f t="shared" si="11"/>
        <v>104441.54583027239</v>
      </c>
    </row>
    <row r="169" spans="1:18" ht="15.5">
      <c r="A169" s="7" t="s">
        <v>8</v>
      </c>
      <c r="B169" s="7" t="s">
        <v>9</v>
      </c>
      <c r="C169" s="8">
        <v>2013</v>
      </c>
      <c r="D169" s="9">
        <v>46.151584</v>
      </c>
      <c r="E169" s="9">
        <v>20.318954467773398</v>
      </c>
      <c r="F169" s="9">
        <v>2413.4899999999998</v>
      </c>
      <c r="G169" s="9">
        <v>2.4608843326568599</v>
      </c>
      <c r="H169" s="9">
        <v>691589.0625</v>
      </c>
      <c r="I169" s="9">
        <v>2175999.5</v>
      </c>
      <c r="J169" s="9">
        <v>1.0027948617935201</v>
      </c>
      <c r="K169" s="9">
        <v>0.457877516746521</v>
      </c>
      <c r="L169" s="9" t="e">
        <f>IF(OR(OIT!#REF!="",OIT!#REF!=""),"",OIT!#REF!-OIT!#REF!)</f>
        <v>#REF!</v>
      </c>
      <c r="M169" s="9" t="e">
        <f>IF(OR(OIT!#REF!="",OIT!#REF!=""),"",OIT!#REF!-OIT!#REF!)</f>
        <v>#REF!</v>
      </c>
      <c r="N169" s="9" t="e">
        <f>IF(OR(OIT!#REF!="",OIT!#REF!=""),"",OIT!#REF!-OIT!#REF!)</f>
        <v>#REF!</v>
      </c>
      <c r="O169" s="9">
        <f t="shared" si="8"/>
        <v>49039.593418426412</v>
      </c>
      <c r="P169" s="9">
        <f t="shared" si="9"/>
        <v>34036.646107794841</v>
      </c>
      <c r="Q169" s="9">
        <f t="shared" si="10"/>
        <v>14.102667136716889</v>
      </c>
      <c r="R169" s="9">
        <f t="shared" si="11"/>
        <v>107092.09981503795</v>
      </c>
    </row>
    <row r="170" spans="1:18" ht="15.5">
      <c r="A170" s="7" t="s">
        <v>8</v>
      </c>
      <c r="B170" s="7" t="s">
        <v>9</v>
      </c>
      <c r="C170" s="8">
        <v>2014</v>
      </c>
      <c r="D170" s="9">
        <v>46.565429000000002</v>
      </c>
      <c r="E170" s="9">
        <v>20.3993816375732</v>
      </c>
      <c r="F170" s="9">
        <v>2405.14</v>
      </c>
      <c r="G170" s="9">
        <v>2.4863727092742902</v>
      </c>
      <c r="H170" s="9">
        <v>722703.875</v>
      </c>
      <c r="I170" s="9">
        <v>2276362.5</v>
      </c>
      <c r="J170" s="9">
        <v>1.01468193531036</v>
      </c>
      <c r="K170" s="9">
        <v>0.46960267424583402</v>
      </c>
      <c r="L170" s="9" t="e">
        <f>IF(OR(OIT!#REF!="",OIT!#REF!=""),"",OIT!#REF!-OIT!#REF!)</f>
        <v>#REF!</v>
      </c>
      <c r="M170" s="9" t="e">
        <f>IF(OR(OIT!#REF!="",OIT!#REF!=""),"",OIT!#REF!-OIT!#REF!)</f>
        <v>#REF!</v>
      </c>
      <c r="N170" s="9" t="e">
        <f>IF(OR(OIT!#REF!="",OIT!#REF!=""),"",OIT!#REF!-OIT!#REF!)</f>
        <v>#REF!</v>
      </c>
      <c r="O170" s="9">
        <f t="shared" si="8"/>
        <v>49063.368751792805</v>
      </c>
      <c r="P170" s="9">
        <f t="shared" si="9"/>
        <v>35427.734420580018</v>
      </c>
      <c r="Q170" s="9">
        <f t="shared" si="10"/>
        <v>14.730009238788602</v>
      </c>
      <c r="R170" s="9">
        <f t="shared" si="11"/>
        <v>111589.7795552398</v>
      </c>
    </row>
    <row r="171" spans="1:18" ht="15.5">
      <c r="A171" s="7" t="s">
        <v>8</v>
      </c>
      <c r="B171" s="7" t="s">
        <v>9</v>
      </c>
      <c r="C171" s="8">
        <v>2015</v>
      </c>
      <c r="D171" s="9">
        <v>46.969940000000001</v>
      </c>
      <c r="E171" s="9">
        <v>21.104354858398398</v>
      </c>
      <c r="F171" s="9">
        <v>2395.83</v>
      </c>
      <c r="G171" s="9">
        <v>2.5121252536773699</v>
      </c>
      <c r="H171" s="9">
        <v>744066.3125</v>
      </c>
      <c r="I171" s="9">
        <v>2382179.25</v>
      </c>
      <c r="J171" s="9">
        <v>0.99882847070694003</v>
      </c>
      <c r="K171" s="9">
        <v>0.49331974983215299</v>
      </c>
      <c r="L171" s="9" t="e">
        <f>IF(OR(OIT!#REF!="",OIT!#REF!=""),"",OIT!#REF!-OIT!#REF!)</f>
        <v>#REF!</v>
      </c>
      <c r="M171" s="9" t="e">
        <f>IF(OR(OIT!#REF!="",OIT!#REF!=""),"",OIT!#REF!-OIT!#REF!)</f>
        <v>#REF!</v>
      </c>
      <c r="N171" s="9" t="e">
        <f>IF(OR(OIT!#REF!="",OIT!#REF!=""),"",OIT!#REF!-OIT!#REF!)</f>
        <v>#REF!</v>
      </c>
      <c r="O171" s="9">
        <f t="shared" si="8"/>
        <v>50562.446500396632</v>
      </c>
      <c r="P171" s="9">
        <f t="shared" si="9"/>
        <v>35256.52963534688</v>
      </c>
      <c r="Q171" s="9">
        <f t="shared" si="10"/>
        <v>14.715789365416946</v>
      </c>
      <c r="R171" s="9">
        <f t="shared" si="11"/>
        <v>112876.19384640989</v>
      </c>
    </row>
    <row r="172" spans="1:18" ht="15.5">
      <c r="A172" s="7" t="s">
        <v>8</v>
      </c>
      <c r="B172" s="7" t="s">
        <v>9</v>
      </c>
      <c r="C172" s="8">
        <v>2016</v>
      </c>
      <c r="D172" s="9">
        <v>47.437511999999998</v>
      </c>
      <c r="E172" s="9">
        <v>21.1867866516113</v>
      </c>
      <c r="F172" s="9">
        <v>2392.21</v>
      </c>
      <c r="G172" s="9">
        <v>2.5381448268890399</v>
      </c>
      <c r="H172" s="9">
        <v>759597.75</v>
      </c>
      <c r="I172" s="9">
        <v>2478521.5</v>
      </c>
      <c r="J172" s="9">
        <v>0.993033587932587</v>
      </c>
      <c r="K172" s="9">
        <v>0.49480772018432601</v>
      </c>
      <c r="L172" s="9" t="e">
        <f>IF(OR(OIT!#REF!="",OIT!#REF!=""),"",OIT!#REF!-OIT!#REF!)</f>
        <v>#REF!</v>
      </c>
      <c r="M172" s="9" t="e">
        <f>IF(OR(OIT!#REF!="",OIT!#REF!=""),"",OIT!#REF!-OIT!#REF!)</f>
        <v>#REF!</v>
      </c>
      <c r="N172" s="9" t="e">
        <f>IF(OR(OIT!#REF!="",OIT!#REF!=""),"",OIT!#REF!-OIT!#REF!)</f>
        <v>#REF!</v>
      </c>
      <c r="O172" s="9">
        <f t="shared" si="8"/>
        <v>50683.242895851065</v>
      </c>
      <c r="P172" s="9">
        <f t="shared" si="9"/>
        <v>35852.428331420939</v>
      </c>
      <c r="Q172" s="9">
        <f t="shared" si="10"/>
        <v>14.987157620535381</v>
      </c>
      <c r="R172" s="9">
        <f t="shared" si="11"/>
        <v>116984.30445144938</v>
      </c>
    </row>
    <row r="173" spans="1:18" ht="15.5">
      <c r="A173" s="7" t="s">
        <v>8</v>
      </c>
      <c r="B173" s="7" t="s">
        <v>9</v>
      </c>
      <c r="C173" s="8">
        <v>2017</v>
      </c>
      <c r="D173" s="9">
        <v>48.131078000000002</v>
      </c>
      <c r="E173" s="9">
        <v>21.277929306030298</v>
      </c>
      <c r="F173" s="9">
        <v>2376.4299999999998</v>
      </c>
      <c r="G173" s="9">
        <v>2.5629780292511</v>
      </c>
      <c r="H173" s="9">
        <v>769923.4375</v>
      </c>
      <c r="I173" s="9">
        <v>2574892.75</v>
      </c>
      <c r="J173" s="9">
        <v>0.98379057645797696</v>
      </c>
      <c r="K173" s="9">
        <v>0.49710571765899703</v>
      </c>
      <c r="L173" s="9" t="e">
        <f>IF(OR(OIT!#REF!="",OIT!#REF!=""),"",OIT!#REF!-OIT!#REF!)</f>
        <v>#REF!</v>
      </c>
      <c r="M173" s="9" t="e">
        <f>IF(OR(OIT!#REF!="",OIT!#REF!=""),"",OIT!#REF!-OIT!#REF!)</f>
        <v>#REF!</v>
      </c>
      <c r="N173" s="9" t="e">
        <f>IF(OR(OIT!#REF!="",OIT!#REF!=""),"",OIT!#REF!-OIT!#REF!)</f>
        <v>#REF!</v>
      </c>
      <c r="O173" s="9">
        <f t="shared" si="8"/>
        <v>50565.509540729581</v>
      </c>
      <c r="P173" s="9">
        <f t="shared" si="9"/>
        <v>36184.13363568225</v>
      </c>
      <c r="Q173" s="9">
        <f t="shared" si="10"/>
        <v>15.226256879303094</v>
      </c>
      <c r="R173" s="9">
        <f t="shared" si="11"/>
        <v>121012.37451100373</v>
      </c>
    </row>
    <row r="174" spans="1:18" ht="15.5">
      <c r="A174" s="7" t="s">
        <v>8</v>
      </c>
      <c r="B174" s="7" t="s">
        <v>9</v>
      </c>
      <c r="C174" s="8">
        <v>2018</v>
      </c>
      <c r="D174" s="9">
        <v>49.024464999999999</v>
      </c>
      <c r="E174" s="9">
        <v>21.398229598998999</v>
      </c>
      <c r="F174" s="9">
        <v>2385.94</v>
      </c>
      <c r="G174" s="9">
        <v>2.5808203220367401</v>
      </c>
      <c r="H174" s="9">
        <v>789666.8125</v>
      </c>
      <c r="I174" s="9">
        <v>2669737</v>
      </c>
      <c r="J174" s="9">
        <v>0.98208409547805797</v>
      </c>
      <c r="K174" s="9">
        <v>0.495853841304779</v>
      </c>
      <c r="L174" s="9" t="e">
        <f>IF(OR(OIT!#REF!="",OIT!#REF!=""),"",OIT!#REF!-OIT!#REF!)</f>
        <v>#REF!</v>
      </c>
      <c r="M174" s="9" t="e">
        <f>IF(OR(OIT!#REF!="",OIT!#REF!=""),"",OIT!#REF!-OIT!#REF!)</f>
        <v>#REF!</v>
      </c>
      <c r="N174" s="9" t="e">
        <f>IF(OR(OIT!#REF!="",OIT!#REF!=""),"",OIT!#REF!-OIT!#REF!)</f>
        <v>#REF!</v>
      </c>
      <c r="O174" s="9">
        <f t="shared" si="8"/>
        <v>51054.891929435675</v>
      </c>
      <c r="P174" s="9">
        <f t="shared" si="9"/>
        <v>36903.371320819002</v>
      </c>
      <c r="Q174" s="9">
        <f t="shared" si="10"/>
        <v>15.467015650359608</v>
      </c>
      <c r="R174" s="9">
        <f t="shared" si="11"/>
        <v>124764.38705587537</v>
      </c>
    </row>
    <row r="175" spans="1:18" ht="15.5">
      <c r="A175" s="7" t="s">
        <v>8</v>
      </c>
      <c r="B175" s="7" t="s">
        <v>9</v>
      </c>
      <c r="C175" s="8">
        <v>2019</v>
      </c>
      <c r="D175" s="9">
        <v>49.907984999999996</v>
      </c>
      <c r="E175" s="9">
        <v>21.4365634918213</v>
      </c>
      <c r="F175" s="9">
        <v>2382.61</v>
      </c>
      <c r="G175" s="9">
        <v>2.59878706932068</v>
      </c>
      <c r="H175" s="9">
        <v>814832.3125</v>
      </c>
      <c r="I175" s="9">
        <v>2765520</v>
      </c>
      <c r="J175" s="9">
        <v>0.99029564857482899</v>
      </c>
      <c r="K175" s="9">
        <v>0.50206708908081099</v>
      </c>
      <c r="L175" s="9" t="e">
        <f>IF(OR(OIT!#REF!="",OIT!#REF!=""),"",OIT!#REF!-OIT!#REF!)</f>
        <v>#REF!</v>
      </c>
      <c r="M175" s="9" t="e">
        <f>IF(OR(OIT!#REF!="",OIT!#REF!=""),"",OIT!#REF!-OIT!#REF!)</f>
        <v>#REF!</v>
      </c>
      <c r="N175" s="9" t="e">
        <f>IF(OR(OIT!#REF!="",OIT!#REF!=""),"",OIT!#REF!-OIT!#REF!)</f>
        <v>#REF!</v>
      </c>
      <c r="O175" s="9">
        <f t="shared" si="8"/>
        <v>51074.970541248353</v>
      </c>
      <c r="P175" s="9">
        <f t="shared" si="9"/>
        <v>38011.331098423645</v>
      </c>
      <c r="Q175" s="9">
        <f t="shared" si="10"/>
        <v>15.953652128725912</v>
      </c>
      <c r="R175" s="9">
        <f t="shared" si="11"/>
        <v>129009.48424196489</v>
      </c>
    </row>
    <row r="176" spans="1:18" ht="15.5">
      <c r="A176" s="7" t="s">
        <v>8</v>
      </c>
      <c r="B176" s="7" t="s">
        <v>9</v>
      </c>
      <c r="C176" s="8">
        <v>2020</v>
      </c>
      <c r="D176" s="9">
        <v>50.629997000000003</v>
      </c>
      <c r="E176" s="9">
        <v>19.854122161865199</v>
      </c>
      <c r="F176" s="9">
        <v>2069.44</v>
      </c>
      <c r="G176" s="9">
        <v>2.6168789863586399</v>
      </c>
      <c r="H176" s="9">
        <v>756279.1875</v>
      </c>
      <c r="I176" s="9">
        <v>2811806.5</v>
      </c>
      <c r="J176" s="9">
        <v>1.0182021856307999</v>
      </c>
      <c r="K176" s="9">
        <v>0.538307785987854</v>
      </c>
      <c r="L176" s="9" t="e">
        <f>IF(OR(OIT!#REF!="",OIT!#REF!=""),"",OIT!#REF!-OIT!#REF!)</f>
        <v>#REF!</v>
      </c>
      <c r="M176" s="9" t="e">
        <f>IF(OR(OIT!#REF!="",OIT!#REF!=""),"",OIT!#REF!-OIT!#REF!)</f>
        <v>#REF!</v>
      </c>
      <c r="N176" s="9" t="e">
        <f>IF(OR(OIT!#REF!="",OIT!#REF!=""),"",OIT!#REF!-OIT!#REF!)</f>
        <v>#REF!</v>
      </c>
      <c r="O176" s="9">
        <f t="shared" si="8"/>
        <v>41086.914566650317</v>
      </c>
      <c r="P176" s="9">
        <f t="shared" si="9"/>
        <v>38091.796823564582</v>
      </c>
      <c r="Q176" s="9">
        <f t="shared" si="10"/>
        <v>18.406813835416628</v>
      </c>
      <c r="R176" s="9">
        <f t="shared" si="11"/>
        <v>141623.31011545687</v>
      </c>
    </row>
    <row r="177" spans="1:18" ht="15.5">
      <c r="A177" s="7" t="s">
        <v>8</v>
      </c>
      <c r="B177" s="7" t="s">
        <v>9</v>
      </c>
      <c r="C177" s="8">
        <v>2021</v>
      </c>
      <c r="D177" s="9">
        <v>51.188172999999999</v>
      </c>
      <c r="E177" s="9">
        <v>20.864576339721701</v>
      </c>
      <c r="F177" s="9">
        <v>2405.39</v>
      </c>
      <c r="G177" s="9">
        <v>2.6382591724395801</v>
      </c>
      <c r="H177" s="9">
        <v>837966.375</v>
      </c>
      <c r="I177" s="9">
        <v>2882305</v>
      </c>
      <c r="J177" s="9">
        <v>1</v>
      </c>
      <c r="K177" s="9">
        <v>0.50045806169509899</v>
      </c>
      <c r="L177" s="9" t="e">
        <f>IF(OR(OIT!#REF!="",OIT!#REF!=""),"",OIT!#REF!-OIT!#REF!)</f>
        <v>#REF!</v>
      </c>
      <c r="M177" s="9" t="e">
        <f>IF(OR(OIT!#REF!="",OIT!#REF!=""),"",OIT!#REF!-OIT!#REF!)</f>
        <v>#REF!</v>
      </c>
      <c r="N177" s="9" t="e">
        <f>IF(OR(OIT!#REF!="",OIT!#REF!=""),"",OIT!#REF!-OIT!#REF!)</f>
        <v>#REF!</v>
      </c>
      <c r="O177" s="9">
        <f t="shared" si="8"/>
        <v>50187.443281803178</v>
      </c>
      <c r="P177" s="9">
        <f t="shared" si="9"/>
        <v>40162.156247797415</v>
      </c>
      <c r="Q177" s="9">
        <f t="shared" si="10"/>
        <v>16.696733688839405</v>
      </c>
      <c r="R177" s="9">
        <f t="shared" si="11"/>
        <v>138143.47116709512</v>
      </c>
    </row>
    <row r="178" spans="1:18" ht="15.5">
      <c r="A178" s="7" t="s">
        <v>8</v>
      </c>
      <c r="B178" s="7" t="s">
        <v>9</v>
      </c>
      <c r="C178" s="8">
        <v>2022</v>
      </c>
      <c r="D178" s="9">
        <v>51.737943999999999</v>
      </c>
      <c r="E178" s="9">
        <v>22.163225173950199</v>
      </c>
      <c r="F178" s="9">
        <v>2503.5700000000002</v>
      </c>
      <c r="G178" s="9">
        <v>2.6601254940032999</v>
      </c>
      <c r="H178" s="9">
        <v>899044.75</v>
      </c>
      <c r="I178" s="9">
        <v>2970245.75</v>
      </c>
      <c r="J178" s="9">
        <v>1.00089430809021</v>
      </c>
      <c r="K178" s="9">
        <v>0.47414100170135498</v>
      </c>
      <c r="L178" s="9" t="e">
        <f>IF(OR(OIT!#REF!="",OIT!#REF!=""),"",OIT!#REF!-OIT!#REF!)</f>
        <v>#REF!</v>
      </c>
      <c r="M178" s="9" t="e">
        <f>IF(OR(OIT!#REF!="",OIT!#REF!=""),"",OIT!#REF!-OIT!#REF!)</f>
        <v>#REF!</v>
      </c>
      <c r="N178" s="9" t="e">
        <f>IF(OR(OIT!#REF!="",OIT!#REF!=""),"",OIT!#REF!-OIT!#REF!)</f>
        <v>#REF!</v>
      </c>
      <c r="O178" s="9">
        <f t="shared" si="8"/>
        <v>55487.185648746505</v>
      </c>
      <c r="P178" s="9">
        <f t="shared" si="9"/>
        <v>40564.70766072</v>
      </c>
      <c r="Q178" s="9">
        <f t="shared" si="10"/>
        <v>16.202745543651663</v>
      </c>
      <c r="R178" s="9">
        <f t="shared" si="11"/>
        <v>134016.85570072682</v>
      </c>
    </row>
    <row r="179" spans="1:18" ht="15.5">
      <c r="A179" s="7" t="s">
        <v>8</v>
      </c>
      <c r="B179" s="7" t="s">
        <v>9</v>
      </c>
      <c r="C179" s="8">
        <v>2023</v>
      </c>
      <c r="D179" s="9">
        <v>52.321151999999998</v>
      </c>
      <c r="E179" s="9">
        <v>22.933172225952202</v>
      </c>
      <c r="F179" s="9">
        <v>2470.61</v>
      </c>
      <c r="G179" s="9">
        <v>2.6824913024902299</v>
      </c>
      <c r="H179" s="9">
        <v>906207.25</v>
      </c>
      <c r="I179" s="9">
        <v>3038053</v>
      </c>
      <c r="J179" s="9">
        <v>0.98316395282745395</v>
      </c>
      <c r="K179" s="9">
        <v>0.47764950990676902</v>
      </c>
      <c r="L179" s="9" t="e">
        <f>IF(OR(OIT!#REF!="",OIT!#REF!=""),"",OIT!#REF!-OIT!#REF!)</f>
        <v>#REF!</v>
      </c>
      <c r="M179" s="9" t="e">
        <f>IF(OR(OIT!#REF!="",OIT!#REF!=""),"",OIT!#REF!-OIT!#REF!)</f>
        <v>#REF!</v>
      </c>
      <c r="N179" s="9" t="e">
        <f>IF(OR(OIT!#REF!="",OIT!#REF!=""),"",OIT!#REF!-OIT!#REF!)</f>
        <v>#REF!</v>
      </c>
      <c r="O179" s="9">
        <f t="shared" si="8"/>
        <v>56658.924633159775</v>
      </c>
      <c r="P179" s="9">
        <f t="shared" si="9"/>
        <v>39515.128612451415</v>
      </c>
      <c r="Q179" s="9">
        <f t="shared" si="10"/>
        <v>15.994077823878076</v>
      </c>
      <c r="R179" s="9">
        <f t="shared" si="11"/>
        <v>132474.17191425458</v>
      </c>
    </row>
    <row r="180" spans="1:18" ht="15.5">
      <c r="A180" s="7" t="s">
        <v>8</v>
      </c>
      <c r="B180" s="7" t="s">
        <v>9</v>
      </c>
      <c r="C180" s="8">
        <v>2024</v>
      </c>
      <c r="D180" s="9"/>
      <c r="E180" s="9"/>
      <c r="F180" s="9"/>
      <c r="G180" s="9"/>
      <c r="H180" s="9"/>
      <c r="I180" s="9"/>
      <c r="J180" s="9"/>
      <c r="K180" s="9"/>
      <c r="L180" s="9" t="e">
        <f>IF(OR(OIT!#REF!="",OIT!#REF!=""),"",OIT!#REF!-OIT!#REF!)</f>
        <v>#REF!</v>
      </c>
      <c r="M180" s="9" t="e">
        <f>IF(OR(OIT!#REF!="",OIT!#REF!=""),"",OIT!#REF!-OIT!#REF!)</f>
        <v>#REF!</v>
      </c>
      <c r="N180" s="9" t="e">
        <f>IF(OR(OIT!#REF!="",OIT!#REF!=""),"",OIT!#REF!-OIT!#REF!)</f>
        <v>#REF!</v>
      </c>
      <c r="O180" s="9">
        <f t="shared" si="8"/>
        <v>0</v>
      </c>
      <c r="P180" s="9" t="str">
        <f t="shared" si="9"/>
        <v/>
      </c>
      <c r="Q180" s="9" t="str">
        <f t="shared" si="10"/>
        <v/>
      </c>
      <c r="R180" s="9" t="str">
        <f t="shared" si="11"/>
        <v/>
      </c>
    </row>
    <row r="181" spans="1:18" ht="15.5">
      <c r="A181" s="7" t="s">
        <v>8</v>
      </c>
      <c r="B181" s="7" t="s">
        <v>9</v>
      </c>
      <c r="C181" s="8">
        <v>2025</v>
      </c>
      <c r="D181" s="9"/>
      <c r="E181" s="9"/>
      <c r="F181" s="9"/>
      <c r="G181" s="9"/>
      <c r="H181" s="9"/>
      <c r="I181" s="9"/>
      <c r="J181" s="9"/>
      <c r="K181" s="9"/>
      <c r="L181" s="9" t="e">
        <f>IF(OR(OIT!#REF!="",OIT!#REF!=""),"",OIT!#REF!-OIT!#REF!)</f>
        <v>#REF!</v>
      </c>
      <c r="M181" s="9" t="e">
        <f>IF(OR(OIT!#REF!="",OIT!#REF!=""),"",OIT!#REF!-OIT!#REF!)</f>
        <v>#REF!</v>
      </c>
      <c r="N181" s="9" t="e">
        <f>IF(OR(OIT!#REF!="",OIT!#REF!=""),"",OIT!#REF!-OIT!#REF!)</f>
        <v>#REF!</v>
      </c>
      <c r="O181" s="9">
        <f t="shared" si="8"/>
        <v>0</v>
      </c>
      <c r="P181" s="9" t="str">
        <f t="shared" si="9"/>
        <v/>
      </c>
      <c r="Q181" s="9" t="str">
        <f t="shared" si="10"/>
        <v/>
      </c>
      <c r="R181" s="9" t="str">
        <f t="shared" si="11"/>
        <v/>
      </c>
    </row>
    <row r="182" spans="1:18" ht="15.5">
      <c r="A182" s="7" t="s">
        <v>10</v>
      </c>
      <c r="B182" s="7" t="s">
        <v>11</v>
      </c>
      <c r="C182" s="8">
        <v>1990</v>
      </c>
      <c r="D182" s="9">
        <v>3.1217060000000001</v>
      </c>
      <c r="E182" s="9">
        <v>1.0848572254180899</v>
      </c>
      <c r="F182" s="9">
        <v>2363.54</v>
      </c>
      <c r="G182" s="9">
        <v>2.2500193119049099</v>
      </c>
      <c r="H182" s="9">
        <v>34106.578125</v>
      </c>
      <c r="I182" s="9">
        <v>77582.4765625</v>
      </c>
      <c r="J182" s="9">
        <v>0.91647112369537398</v>
      </c>
      <c r="K182" s="9">
        <v>0.58018672466278098</v>
      </c>
      <c r="L182" s="9" t="e">
        <f>IF(OR(OIT!#REF!="",OIT!#REF!=""),"",OIT!#REF!-OIT!#REF!)</f>
        <v>#REF!</v>
      </c>
      <c r="M182" s="9" t="e">
        <f>IF(OR(OIT!#REF!="",OIT!#REF!=""),"",OIT!#REF!-OIT!#REF!)</f>
        <v>#REF!</v>
      </c>
      <c r="N182" s="9" t="e">
        <f>IF(OR(OIT!#REF!="",OIT!#REF!=""),"",OIT!#REF!-OIT!#REF!)</f>
        <v>#REF!</v>
      </c>
      <c r="O182" s="9">
        <f t="shared" si="8"/>
        <v>2564.1034465646721</v>
      </c>
      <c r="P182" s="9">
        <f t="shared" si="9"/>
        <v>31438.771228034882</v>
      </c>
      <c r="Q182" s="9">
        <f t="shared" si="10"/>
        <v>13.301560890881849</v>
      </c>
      <c r="R182" s="9">
        <f t="shared" si="11"/>
        <v>71513.997182994033</v>
      </c>
    </row>
    <row r="183" spans="1:18" ht="15.5">
      <c r="A183" s="7" t="s">
        <v>10</v>
      </c>
      <c r="B183" s="7" t="s">
        <v>11</v>
      </c>
      <c r="C183" s="8">
        <v>1991</v>
      </c>
      <c r="D183" s="9">
        <v>3.2021760000000001</v>
      </c>
      <c r="E183" s="9">
        <v>1.1060932874679601</v>
      </c>
      <c r="F183" s="9">
        <v>2278.2600000000002</v>
      </c>
      <c r="G183" s="9">
        <v>2.2705388069152801</v>
      </c>
      <c r="H183" s="9">
        <v>34878.1796875</v>
      </c>
      <c r="I183" s="9">
        <v>80277.8125</v>
      </c>
      <c r="J183" s="9">
        <v>0.92647361755371105</v>
      </c>
      <c r="K183" s="9">
        <v>0.547890484333038</v>
      </c>
      <c r="L183" s="9" t="e">
        <f>IF(OR(OIT!#REF!="",OIT!#REF!=""),"",OIT!#REF!-OIT!#REF!)</f>
        <v>#REF!</v>
      </c>
      <c r="M183" s="9" t="e">
        <f>IF(OR(OIT!#REF!="",OIT!#REF!=""),"",OIT!#REF!-OIT!#REF!)</f>
        <v>#REF!</v>
      </c>
      <c r="N183" s="9" t="e">
        <f>IF(OR(OIT!#REF!="",OIT!#REF!=""),"",OIT!#REF!-OIT!#REF!)</f>
        <v>#REF!</v>
      </c>
      <c r="O183" s="9">
        <f t="shared" si="8"/>
        <v>2519.9680931067551</v>
      </c>
      <c r="P183" s="9">
        <f t="shared" si="9"/>
        <v>31532.764987067429</v>
      </c>
      <c r="Q183" s="9">
        <f t="shared" si="10"/>
        <v>13.840722738874151</v>
      </c>
      <c r="R183" s="9">
        <f t="shared" si="11"/>
        <v>72577.795570724309</v>
      </c>
    </row>
    <row r="184" spans="1:18" ht="15.5">
      <c r="A184" s="7" t="s">
        <v>10</v>
      </c>
      <c r="B184" s="7" t="s">
        <v>11</v>
      </c>
      <c r="C184" s="8">
        <v>1992</v>
      </c>
      <c r="D184" s="9">
        <v>3.2842579999999999</v>
      </c>
      <c r="E184" s="9">
        <v>1.15737020969391</v>
      </c>
      <c r="F184" s="9">
        <v>2364.5500000000002</v>
      </c>
      <c r="G184" s="9">
        <v>2.2912454605102499</v>
      </c>
      <c r="H184" s="9">
        <v>38087.359375</v>
      </c>
      <c r="I184" s="9">
        <v>84879.5390625</v>
      </c>
      <c r="J184" s="9">
        <v>0.93320983648300204</v>
      </c>
      <c r="K184" s="9">
        <v>0.55398732423782404</v>
      </c>
      <c r="L184" s="9" t="e">
        <f>IF(OR(OIT!#REF!="",OIT!#REF!=""),"",OIT!#REF!-OIT!#REF!)</f>
        <v>#REF!</v>
      </c>
      <c r="M184" s="9" t="e">
        <f>IF(OR(OIT!#REF!="",OIT!#REF!=""),"",OIT!#REF!-OIT!#REF!)</f>
        <v>#REF!</v>
      </c>
      <c r="N184" s="9" t="e">
        <f>IF(OR(OIT!#REF!="",OIT!#REF!=""),"",OIT!#REF!-OIT!#REF!)</f>
        <v>#REF!</v>
      </c>
      <c r="O184" s="9">
        <f t="shared" si="8"/>
        <v>2736.659729331735</v>
      </c>
      <c r="P184" s="9">
        <f t="shared" si="9"/>
        <v>32908.536141666351</v>
      </c>
      <c r="Q184" s="9">
        <f t="shared" si="10"/>
        <v>13.917462579208031</v>
      </c>
      <c r="R184" s="9">
        <f t="shared" si="11"/>
        <v>73338.278756067273</v>
      </c>
    </row>
    <row r="185" spans="1:18" ht="15.5">
      <c r="A185" s="7" t="s">
        <v>10</v>
      </c>
      <c r="B185" s="7" t="s">
        <v>11</v>
      </c>
      <c r="C185" s="8">
        <v>1993</v>
      </c>
      <c r="D185" s="9">
        <v>3.3674339999999998</v>
      </c>
      <c r="E185" s="9">
        <v>1.1955324411392201</v>
      </c>
      <c r="F185" s="9">
        <v>2352.42</v>
      </c>
      <c r="G185" s="9">
        <v>2.3121409416198699</v>
      </c>
      <c r="H185" s="9">
        <v>40790.4921875</v>
      </c>
      <c r="I185" s="9">
        <v>90467.0390625</v>
      </c>
      <c r="J185" s="9">
        <v>0.94709330797195401</v>
      </c>
      <c r="K185" s="9">
        <v>0.56777244806289695</v>
      </c>
      <c r="L185" s="9" t="e">
        <f>IF(OR(OIT!#REF!="",OIT!#REF!=""),"",OIT!#REF!-OIT!#REF!)</f>
        <v>#REF!</v>
      </c>
      <c r="M185" s="9" t="e">
        <f>IF(OR(OIT!#REF!="",OIT!#REF!=""),"",OIT!#REF!-OIT!#REF!)</f>
        <v>#REF!</v>
      </c>
      <c r="N185" s="9" t="e">
        <f>IF(OR(OIT!#REF!="",OIT!#REF!=""),"",OIT!#REF!-OIT!#REF!)</f>
        <v>#REF!</v>
      </c>
      <c r="O185" s="9">
        <f t="shared" si="8"/>
        <v>2812.3944251847242</v>
      </c>
      <c r="P185" s="9">
        <f t="shared" si="9"/>
        <v>34119.101066492876</v>
      </c>
      <c r="Q185" s="9">
        <f t="shared" si="10"/>
        <v>14.503830551726681</v>
      </c>
      <c r="R185" s="9">
        <f t="shared" si="11"/>
        <v>75670.919457688797</v>
      </c>
    </row>
    <row r="186" spans="1:18" ht="15.5">
      <c r="A186" s="7" t="s">
        <v>10</v>
      </c>
      <c r="B186" s="7" t="s">
        <v>11</v>
      </c>
      <c r="C186" s="8">
        <v>1994</v>
      </c>
      <c r="D186" s="9">
        <v>3.4511219999999998</v>
      </c>
      <c r="E186" s="9">
        <v>1.2355871200561499</v>
      </c>
      <c r="F186" s="9">
        <v>2376.11</v>
      </c>
      <c r="G186" s="9">
        <v>2.3332271575927699</v>
      </c>
      <c r="H186" s="9">
        <v>42633.828125</v>
      </c>
      <c r="I186" s="9">
        <v>96026.4140625</v>
      </c>
      <c r="J186" s="9">
        <v>0.933754682540894</v>
      </c>
      <c r="K186" s="9">
        <v>0.57734721899032604</v>
      </c>
      <c r="L186" s="9" t="e">
        <f>IF(OR(OIT!#REF!="",OIT!#REF!=""),"",OIT!#REF!-OIT!#REF!)</f>
        <v>#REF!</v>
      </c>
      <c r="M186" s="9" t="e">
        <f>IF(OR(OIT!#REF!="",OIT!#REF!=""),"",OIT!#REF!-OIT!#REF!)</f>
        <v>#REF!</v>
      </c>
      <c r="N186" s="9" t="e">
        <f>IF(OR(OIT!#REF!="",OIT!#REF!=""),"",OIT!#REF!-OIT!#REF!)</f>
        <v>#REF!</v>
      </c>
      <c r="O186" s="9">
        <f t="shared" si="8"/>
        <v>2935.8909118366187</v>
      </c>
      <c r="P186" s="9">
        <f t="shared" si="9"/>
        <v>34504.914653903608</v>
      </c>
      <c r="Q186" s="9">
        <f t="shared" si="10"/>
        <v>14.521598181020071</v>
      </c>
      <c r="R186" s="9">
        <f t="shared" si="11"/>
        <v>77717.234587340296</v>
      </c>
    </row>
    <row r="187" spans="1:18" ht="15.5">
      <c r="A187" s="7" t="s">
        <v>10</v>
      </c>
      <c r="B187" s="7" t="s">
        <v>11</v>
      </c>
      <c r="C187" s="8">
        <v>1995</v>
      </c>
      <c r="D187" s="9">
        <v>3.5351759999999999</v>
      </c>
      <c r="E187" s="9">
        <v>1.2661279439926101</v>
      </c>
      <c r="F187" s="9">
        <v>2350.71</v>
      </c>
      <c r="G187" s="9">
        <v>2.3545053005218501</v>
      </c>
      <c r="H187" s="9">
        <v>44404.81640625</v>
      </c>
      <c r="I187" s="9">
        <v>101882.1640625</v>
      </c>
      <c r="J187" s="9">
        <v>0.93400698900222801</v>
      </c>
      <c r="K187" s="9">
        <v>0.56853240728378296</v>
      </c>
      <c r="L187" s="9" t="e">
        <f>IF(OR(OIT!#REF!="",OIT!#REF!=""),"",OIT!#REF!-OIT!#REF!)</f>
        <v>#REF!</v>
      </c>
      <c r="M187" s="9" t="e">
        <f>IF(OR(OIT!#REF!="",OIT!#REF!=""),"",OIT!#REF!-OIT!#REF!)</f>
        <v>#REF!</v>
      </c>
      <c r="N187" s="9" t="e">
        <f>IF(OR(OIT!#REF!="",OIT!#REF!=""),"",OIT!#REF!-OIT!#REF!)</f>
        <v>#REF!</v>
      </c>
      <c r="O187" s="9">
        <f t="shared" si="8"/>
        <v>2976.2996192228684</v>
      </c>
      <c r="P187" s="9">
        <f t="shared" si="9"/>
        <v>35071.350108760555</v>
      </c>
      <c r="Q187" s="9">
        <f t="shared" si="10"/>
        <v>14.919471184774197</v>
      </c>
      <c r="R187" s="9">
        <f t="shared" si="11"/>
        <v>80467.510843512864</v>
      </c>
    </row>
    <row r="188" spans="1:18" ht="15.5">
      <c r="A188" s="7" t="s">
        <v>10</v>
      </c>
      <c r="B188" s="7" t="s">
        <v>11</v>
      </c>
      <c r="C188" s="8">
        <v>1996</v>
      </c>
      <c r="D188" s="9">
        <v>3.6190129999999998</v>
      </c>
      <c r="E188" s="9">
        <v>1.2975720167160001</v>
      </c>
      <c r="F188" s="9">
        <v>2392.5700000000002</v>
      </c>
      <c r="G188" s="9">
        <v>2.36827611923218</v>
      </c>
      <c r="H188" s="9">
        <v>45004.48046875</v>
      </c>
      <c r="I188" s="9">
        <v>106842.734375</v>
      </c>
      <c r="J188" s="9">
        <v>0.89935618638992298</v>
      </c>
      <c r="K188" s="9">
        <v>0.56654804944992099</v>
      </c>
      <c r="L188" s="9" t="e">
        <f>IF(OR(OIT!#REF!="",OIT!#REF!=""),"",OIT!#REF!-OIT!#REF!)</f>
        <v>#REF!</v>
      </c>
      <c r="M188" s="9" t="e">
        <f>IF(OR(OIT!#REF!="",OIT!#REF!=""),"",OIT!#REF!-OIT!#REF!)</f>
        <v>#REF!</v>
      </c>
      <c r="N188" s="9" t="e">
        <f>IF(OR(OIT!#REF!="",OIT!#REF!=""),"",OIT!#REF!-OIT!#REF!)</f>
        <v>#REF!</v>
      </c>
      <c r="O188" s="9">
        <f t="shared" si="8"/>
        <v>3104.5318800342006</v>
      </c>
      <c r="P188" s="9">
        <f t="shared" si="9"/>
        <v>34683.6089935501</v>
      </c>
      <c r="Q188" s="9">
        <f t="shared" si="10"/>
        <v>14.496382130324335</v>
      </c>
      <c r="R188" s="9">
        <f t="shared" si="11"/>
        <v>82340.504417940683</v>
      </c>
    </row>
    <row r="189" spans="1:18" ht="15.5">
      <c r="A189" s="7" t="s">
        <v>10</v>
      </c>
      <c r="B189" s="7" t="s">
        <v>11</v>
      </c>
      <c r="C189" s="8">
        <v>1997</v>
      </c>
      <c r="D189" s="9">
        <v>3.701711</v>
      </c>
      <c r="E189" s="9">
        <v>1.3501940965652499</v>
      </c>
      <c r="F189" s="9">
        <v>2371.21</v>
      </c>
      <c r="G189" s="9">
        <v>2.3821272850036599</v>
      </c>
      <c r="H189" s="9">
        <v>47469.0078125</v>
      </c>
      <c r="I189" s="9">
        <v>113519.2109375</v>
      </c>
      <c r="J189" s="9">
        <v>0.89915412664413497</v>
      </c>
      <c r="K189" s="9">
        <v>0.55686092376708995</v>
      </c>
      <c r="L189" s="9" t="e">
        <f>IF(OR(OIT!#REF!="",OIT!#REF!=""),"",OIT!#REF!-OIT!#REF!)</f>
        <v>#REF!</v>
      </c>
      <c r="M189" s="9" t="e">
        <f>IF(OR(OIT!#REF!="",OIT!#REF!=""),"",OIT!#REF!-OIT!#REF!)</f>
        <v>#REF!</v>
      </c>
      <c r="N189" s="9" t="e">
        <f>IF(OR(OIT!#REF!="",OIT!#REF!=""),"",OIT!#REF!-OIT!#REF!)</f>
        <v>#REF!</v>
      </c>
      <c r="O189" s="9">
        <f t="shared" si="8"/>
        <v>3201.5937437164862</v>
      </c>
      <c r="P189" s="9">
        <f t="shared" si="9"/>
        <v>35157.173278461298</v>
      </c>
      <c r="Q189" s="9">
        <f t="shared" si="10"/>
        <v>14.826680588586123</v>
      </c>
      <c r="R189" s="9">
        <f t="shared" si="11"/>
        <v>84076.216320513311</v>
      </c>
    </row>
    <row r="190" spans="1:18" ht="15.5">
      <c r="A190" s="7" t="s">
        <v>10</v>
      </c>
      <c r="B190" s="7" t="s">
        <v>11</v>
      </c>
      <c r="C190" s="8">
        <v>1998</v>
      </c>
      <c r="D190" s="9">
        <v>3.7828379999999999</v>
      </c>
      <c r="E190" s="9">
        <v>1.3974457979202299</v>
      </c>
      <c r="F190" s="9">
        <v>2362.2800000000002</v>
      </c>
      <c r="G190" s="9">
        <v>2.3960597515106201</v>
      </c>
      <c r="H190" s="9">
        <v>50865.55859375</v>
      </c>
      <c r="I190" s="9">
        <v>123186.265625</v>
      </c>
      <c r="J190" s="9">
        <v>0.90127444267273005</v>
      </c>
      <c r="K190" s="9">
        <v>0.55646634101867698</v>
      </c>
      <c r="L190" s="9" t="e">
        <f>IF(OR(OIT!#REF!="",OIT!#REF!=""),"",OIT!#REF!-OIT!#REF!)</f>
        <v>#REF!</v>
      </c>
      <c r="M190" s="9" t="e">
        <f>IF(OR(OIT!#REF!="",OIT!#REF!=""),"",OIT!#REF!-OIT!#REF!)</f>
        <v>#REF!</v>
      </c>
      <c r="N190" s="9" t="e">
        <f>IF(OR(OIT!#REF!="",OIT!#REF!=""),"",OIT!#REF!-OIT!#REF!)</f>
        <v>#REF!</v>
      </c>
      <c r="O190" s="9">
        <f t="shared" si="8"/>
        <v>3301.1582595110012</v>
      </c>
      <c r="P190" s="9">
        <f t="shared" si="9"/>
        <v>36398.949189622559</v>
      </c>
      <c r="Q190" s="9">
        <f t="shared" si="10"/>
        <v>15.408397476007311</v>
      </c>
      <c r="R190" s="9">
        <f t="shared" si="11"/>
        <v>88151.015093632857</v>
      </c>
    </row>
    <row r="191" spans="1:18" ht="15.5">
      <c r="A191" s="7" t="s">
        <v>10</v>
      </c>
      <c r="B191" s="7" t="s">
        <v>11</v>
      </c>
      <c r="C191" s="8">
        <v>1999</v>
      </c>
      <c r="D191" s="9">
        <v>3.862101</v>
      </c>
      <c r="E191" s="9">
        <v>1.43691301345825</v>
      </c>
      <c r="F191" s="9">
        <v>2376.17</v>
      </c>
      <c r="G191" s="9">
        <v>2.41007351875305</v>
      </c>
      <c r="H191" s="9">
        <v>53009.44140625</v>
      </c>
      <c r="I191" s="9">
        <v>131913.578125</v>
      </c>
      <c r="J191" s="9">
        <v>0.88614022731780995</v>
      </c>
      <c r="K191" s="9">
        <v>0.56667679548263605</v>
      </c>
      <c r="L191" s="9" t="e">
        <f>IF(OR(OIT!#REF!="",OIT!#REF!=""),"",OIT!#REF!-OIT!#REF!)</f>
        <v>#REF!</v>
      </c>
      <c r="M191" s="9" t="e">
        <f>IF(OR(OIT!#REF!="",OIT!#REF!=""),"",OIT!#REF!-OIT!#REF!)</f>
        <v>#REF!</v>
      </c>
      <c r="N191" s="9" t="e">
        <f>IF(OR(OIT!#REF!="",OIT!#REF!=""),"",OIT!#REF!-OIT!#REF!)</f>
        <v>#REF!</v>
      </c>
      <c r="O191" s="9">
        <f t="shared" si="8"/>
        <v>3414.34959518909</v>
      </c>
      <c r="P191" s="9">
        <f t="shared" si="9"/>
        <v>36891.197246986456</v>
      </c>
      <c r="Q191" s="9">
        <f t="shared" si="10"/>
        <v>15.525487337600614</v>
      </c>
      <c r="R191" s="9">
        <f t="shared" si="11"/>
        <v>91803.454272796036</v>
      </c>
    </row>
    <row r="192" spans="1:18" ht="15.5">
      <c r="A192" s="7" t="s">
        <v>10</v>
      </c>
      <c r="B192" s="7" t="s">
        <v>11</v>
      </c>
      <c r="C192" s="8">
        <v>2000</v>
      </c>
      <c r="D192" s="9">
        <v>3.9377390000000001</v>
      </c>
      <c r="E192" s="9">
        <v>1.4944766759872401</v>
      </c>
      <c r="F192" s="9">
        <v>2367.58</v>
      </c>
      <c r="G192" s="9">
        <v>2.4241690635681201</v>
      </c>
      <c r="H192" s="9">
        <v>55060.23046875</v>
      </c>
      <c r="I192" s="9">
        <v>139432.9375</v>
      </c>
      <c r="J192" s="9">
        <v>0.87598097324371305</v>
      </c>
      <c r="K192" s="9">
        <v>0.56732940673828103</v>
      </c>
      <c r="L192" s="9" t="e">
        <f>IF(OR(OIT!#REF!="",OIT!#REF!=""),"",OIT!#REF!-OIT!#REF!)</f>
        <v>#REF!</v>
      </c>
      <c r="M192" s="9" t="e">
        <f>IF(OR(OIT!#REF!="",OIT!#REF!=""),"",OIT!#REF!-OIT!#REF!)</f>
        <v>#REF!</v>
      </c>
      <c r="N192" s="9" t="e">
        <f>IF(OR(OIT!#REF!="",OIT!#REF!=""),"",OIT!#REF!-OIT!#REF!)</f>
        <v>#REF!</v>
      </c>
      <c r="O192" s="9">
        <f t="shared" si="8"/>
        <v>3538.2930885338696</v>
      </c>
      <c r="P192" s="9">
        <f t="shared" si="9"/>
        <v>36842.48229058351</v>
      </c>
      <c r="Q192" s="9">
        <f t="shared" si="10"/>
        <v>15.561240714393394</v>
      </c>
      <c r="R192" s="9">
        <f t="shared" si="11"/>
        <v>93298.838142048378</v>
      </c>
    </row>
    <row r="193" spans="1:18" ht="15.5">
      <c r="A193" s="7" t="s">
        <v>10</v>
      </c>
      <c r="B193" s="7" t="s">
        <v>11</v>
      </c>
      <c r="C193" s="8">
        <v>2001</v>
      </c>
      <c r="D193" s="9">
        <v>4.008947</v>
      </c>
      <c r="E193" s="9">
        <v>1.5254881381988501</v>
      </c>
      <c r="F193" s="9">
        <v>2335.04</v>
      </c>
      <c r="G193" s="9">
        <v>2.4483330249786399</v>
      </c>
      <c r="H193" s="9">
        <v>56982.4765625</v>
      </c>
      <c r="I193" s="9">
        <v>147196.046875</v>
      </c>
      <c r="J193" s="9">
        <v>0.87669098377227805</v>
      </c>
      <c r="K193" s="9">
        <v>0.57879197597503695</v>
      </c>
      <c r="L193" s="9" t="e">
        <f>IF(OR(OIT!#REF!="",OIT!#REF!=""),"",OIT!#REF!-OIT!#REF!)</f>
        <v>#REF!</v>
      </c>
      <c r="M193" s="9" t="e">
        <f>IF(OR(OIT!#REF!="",OIT!#REF!=""),"",OIT!#REF!-OIT!#REF!)</f>
        <v>#REF!</v>
      </c>
      <c r="N193" s="9" t="e">
        <f>IF(OR(OIT!#REF!="",OIT!#REF!=""),"",OIT!#REF!-OIT!#REF!)</f>
        <v>#REF!</v>
      </c>
      <c r="O193" s="9">
        <f t="shared" si="8"/>
        <v>3562.0758222198428</v>
      </c>
      <c r="P193" s="9">
        <f t="shared" si="9"/>
        <v>37353.601863977412</v>
      </c>
      <c r="Q193" s="9">
        <f t="shared" si="10"/>
        <v>15.996985860617983</v>
      </c>
      <c r="R193" s="9">
        <f t="shared" si="11"/>
        <v>96491.112050726893</v>
      </c>
    </row>
    <row r="194" spans="1:18" ht="15.5">
      <c r="A194" s="7" t="s">
        <v>10</v>
      </c>
      <c r="B194" s="7" t="s">
        <v>11</v>
      </c>
      <c r="C194" s="8">
        <v>2002</v>
      </c>
      <c r="D194" s="9">
        <v>4.0757050000000001</v>
      </c>
      <c r="E194" s="9">
        <v>1.56531858444214</v>
      </c>
      <c r="F194" s="9">
        <v>2362.6999999999998</v>
      </c>
      <c r="G194" s="9">
        <v>2.4727375507354701</v>
      </c>
      <c r="H194" s="9">
        <v>58929.49609375</v>
      </c>
      <c r="I194" s="9">
        <v>155432.171875</v>
      </c>
      <c r="J194" s="9">
        <v>0.86061143875122104</v>
      </c>
      <c r="K194" s="9">
        <v>0.578185975551605</v>
      </c>
      <c r="L194" s="9" t="e">
        <f>IF(OR(OIT!#REF!="",OIT!#REF!=""),"",OIT!#REF!-OIT!#REF!)</f>
        <v>#REF!</v>
      </c>
      <c r="M194" s="9" t="e">
        <f>IF(OR(OIT!#REF!="",OIT!#REF!=""),"",OIT!#REF!-OIT!#REF!)</f>
        <v>#REF!</v>
      </c>
      <c r="N194" s="9" t="e">
        <f>IF(OR(OIT!#REF!="",OIT!#REF!=""),"",OIT!#REF!-OIT!#REF!)</f>
        <v>#REF!</v>
      </c>
      <c r="O194" s="9">
        <f t="shared" ref="O194:O257" si="12">IFERROR(E194*F194,"")</f>
        <v>3698.3782194614437</v>
      </c>
      <c r="P194" s="9">
        <f t="shared" ref="P194:P257" si="13">IFERROR(H194/E194,"")</f>
        <v>37646.96636164435</v>
      </c>
      <c r="Q194" s="9">
        <f t="shared" ref="Q194:Q257" si="14">IFERROR(H194/(E194*F194),"")</f>
        <v>15.933874957313394</v>
      </c>
      <c r="R194" s="9">
        <f t="shared" ref="R194:R257" si="15">IFERROR(I194/E194,"")</f>
        <v>99297.467889192718</v>
      </c>
    </row>
    <row r="195" spans="1:18" ht="15.5">
      <c r="A195" s="7" t="s">
        <v>10</v>
      </c>
      <c r="B195" s="7" t="s">
        <v>11</v>
      </c>
      <c r="C195" s="8">
        <v>2003</v>
      </c>
      <c r="D195" s="9">
        <v>4.1387840000000002</v>
      </c>
      <c r="E195" s="9">
        <v>1.6053776741027801</v>
      </c>
      <c r="F195" s="9">
        <v>2356.13</v>
      </c>
      <c r="G195" s="9">
        <v>2.49738550186157</v>
      </c>
      <c r="H195" s="9">
        <v>61473.58984375</v>
      </c>
      <c r="I195" s="9">
        <v>164266.359375</v>
      </c>
      <c r="J195" s="9">
        <v>0.86045956611633301</v>
      </c>
      <c r="K195" s="9">
        <v>0.56806558370590199</v>
      </c>
      <c r="L195" s="9" t="e">
        <f>IF(OR(OIT!#REF!="",OIT!#REF!=""),"",OIT!#REF!-OIT!#REF!)</f>
        <v>#REF!</v>
      </c>
      <c r="M195" s="9" t="e">
        <f>IF(OR(OIT!#REF!="",OIT!#REF!=""),"",OIT!#REF!-OIT!#REF!)</f>
        <v>#REF!</v>
      </c>
      <c r="N195" s="9" t="e">
        <f>IF(OR(OIT!#REF!="",OIT!#REF!=""),"",OIT!#REF!-OIT!#REF!)</f>
        <v>#REF!</v>
      </c>
      <c r="O195" s="9">
        <f t="shared" si="12"/>
        <v>3782.4784992837835</v>
      </c>
      <c r="P195" s="9">
        <f t="shared" si="13"/>
        <v>38292.291487177063</v>
      </c>
      <c r="Q195" s="9">
        <f t="shared" si="14"/>
        <v>16.252198090587981</v>
      </c>
      <c r="R195" s="9">
        <f t="shared" si="15"/>
        <v>102322.5637336746</v>
      </c>
    </row>
    <row r="196" spans="1:18" ht="15.5">
      <c r="A196" s="7" t="s">
        <v>10</v>
      </c>
      <c r="B196" s="7" t="s">
        <v>11</v>
      </c>
      <c r="C196" s="8">
        <v>2004</v>
      </c>
      <c r="D196" s="9">
        <v>4.2000780000000004</v>
      </c>
      <c r="E196" s="9">
        <v>1.6554763317108201</v>
      </c>
      <c r="F196" s="9">
        <v>2375.4</v>
      </c>
      <c r="G196" s="9">
        <v>2.5222792625427202</v>
      </c>
      <c r="H196" s="9">
        <v>64193.55078125</v>
      </c>
      <c r="I196" s="9">
        <v>172944.09375</v>
      </c>
      <c r="J196" s="9">
        <v>0.85446822643279996</v>
      </c>
      <c r="K196" s="9">
        <v>0.55159217119216897</v>
      </c>
      <c r="L196" s="9" t="e">
        <f>IF(OR(OIT!#REF!="",OIT!#REF!=""),"",OIT!#REF!-OIT!#REF!)</f>
        <v>#REF!</v>
      </c>
      <c r="M196" s="9" t="e">
        <f>IF(OR(OIT!#REF!="",OIT!#REF!=""),"",OIT!#REF!-OIT!#REF!)</f>
        <v>#REF!</v>
      </c>
      <c r="N196" s="9" t="e">
        <f>IF(OR(OIT!#REF!="",OIT!#REF!=""),"",OIT!#REF!-OIT!#REF!)</f>
        <v>#REF!</v>
      </c>
      <c r="O196" s="9">
        <f t="shared" si="12"/>
        <v>3932.4184783458822</v>
      </c>
      <c r="P196" s="9">
        <f t="shared" si="13"/>
        <v>38776.483572501704</v>
      </c>
      <c r="Q196" s="9">
        <f t="shared" si="14"/>
        <v>16.324191114128865</v>
      </c>
      <c r="R196" s="9">
        <f t="shared" si="15"/>
        <v>104467.87455503774</v>
      </c>
    </row>
    <row r="197" spans="1:18" ht="15.5">
      <c r="A197" s="7" t="s">
        <v>10</v>
      </c>
      <c r="B197" s="7" t="s">
        <v>11</v>
      </c>
      <c r="C197" s="8">
        <v>2005</v>
      </c>
      <c r="D197" s="9">
        <v>4.2612399999999999</v>
      </c>
      <c r="E197" s="9">
        <v>1.70238769054413</v>
      </c>
      <c r="F197" s="9">
        <v>2357.85</v>
      </c>
      <c r="G197" s="9">
        <v>2.5474209785461399</v>
      </c>
      <c r="H197" s="9">
        <v>66746.3125</v>
      </c>
      <c r="I197" s="9">
        <v>182123.1875</v>
      </c>
      <c r="J197" s="9">
        <v>0.85140275955200195</v>
      </c>
      <c r="K197" s="9">
        <v>0.54737752676010099</v>
      </c>
      <c r="L197" s="9" t="e">
        <f>IF(OR(OIT!#REF!="",OIT!#REF!=""),"",OIT!#REF!-OIT!#REF!)</f>
        <v>#REF!</v>
      </c>
      <c r="M197" s="9" t="e">
        <f>IF(OR(OIT!#REF!="",OIT!#REF!=""),"",OIT!#REF!-OIT!#REF!)</f>
        <v>#REF!</v>
      </c>
      <c r="N197" s="9" t="e">
        <f>IF(OR(OIT!#REF!="",OIT!#REF!=""),"",OIT!#REF!-OIT!#REF!)</f>
        <v>#REF!</v>
      </c>
      <c r="O197" s="9">
        <f t="shared" si="12"/>
        <v>4013.9748161494767</v>
      </c>
      <c r="P197" s="9">
        <f t="shared" si="13"/>
        <v>39207.46893950228</v>
      </c>
      <c r="Q197" s="9">
        <f t="shared" si="14"/>
        <v>16.628483126366088</v>
      </c>
      <c r="R197" s="9">
        <f t="shared" si="15"/>
        <v>106981.02935753044</v>
      </c>
    </row>
    <row r="198" spans="1:18" ht="15.5">
      <c r="A198" s="7" t="s">
        <v>10</v>
      </c>
      <c r="B198" s="7" t="s">
        <v>11</v>
      </c>
      <c r="C198" s="8">
        <v>2006</v>
      </c>
      <c r="D198" s="9">
        <v>4.3213400000000002</v>
      </c>
      <c r="E198" s="9">
        <v>1.76370000839233</v>
      </c>
      <c r="F198" s="9">
        <v>2365.61</v>
      </c>
      <c r="G198" s="9">
        <v>2.5419225692749001</v>
      </c>
      <c r="H198" s="9">
        <v>71636.609375</v>
      </c>
      <c r="I198" s="9">
        <v>192401.9375</v>
      </c>
      <c r="J198" s="9">
        <v>0.87193560600280795</v>
      </c>
      <c r="K198" s="9">
        <v>0.54571831226348899</v>
      </c>
      <c r="L198" s="9" t="e">
        <f>IF(OR(OIT!#REF!="",OIT!#REF!=""),"",OIT!#REF!-OIT!#REF!)</f>
        <v>#REF!</v>
      </c>
      <c r="M198" s="9" t="e">
        <f>IF(OR(OIT!#REF!="",OIT!#REF!=""),"",OIT!#REF!-OIT!#REF!)</f>
        <v>#REF!</v>
      </c>
      <c r="N198" s="9" t="e">
        <f>IF(OR(OIT!#REF!="",OIT!#REF!=""),"",OIT!#REF!-OIT!#REF!)</f>
        <v>#REF!</v>
      </c>
      <c r="O198" s="9">
        <f t="shared" si="12"/>
        <v>4172.2263768529801</v>
      </c>
      <c r="P198" s="9">
        <f t="shared" si="13"/>
        <v>40617.230273927991</v>
      </c>
      <c r="Q198" s="9">
        <f t="shared" si="14"/>
        <v>17.169875961772224</v>
      </c>
      <c r="R198" s="9">
        <f t="shared" si="15"/>
        <v>109089.94533337936</v>
      </c>
    </row>
    <row r="199" spans="1:18" ht="15.5">
      <c r="A199" s="7" t="s">
        <v>10</v>
      </c>
      <c r="B199" s="7" t="s">
        <v>11</v>
      </c>
      <c r="C199" s="8">
        <v>2007</v>
      </c>
      <c r="D199" s="9">
        <v>4.3802479999999999</v>
      </c>
      <c r="E199" s="9">
        <v>1.8431767225265501</v>
      </c>
      <c r="F199" s="9">
        <v>2392.5700000000002</v>
      </c>
      <c r="G199" s="9">
        <v>2.5364358425140399</v>
      </c>
      <c r="H199" s="9">
        <v>77521.65625</v>
      </c>
      <c r="I199" s="9">
        <v>206142.234375</v>
      </c>
      <c r="J199" s="9">
        <v>0.88825553655624401</v>
      </c>
      <c r="K199" s="9">
        <v>0.54577249288559004</v>
      </c>
      <c r="L199" s="9" t="e">
        <f>IF(OR(OIT!#REF!="",OIT!#REF!=""),"",OIT!#REF!-OIT!#REF!)</f>
        <v>#REF!</v>
      </c>
      <c r="M199" s="9" t="e">
        <f>IF(OR(OIT!#REF!="",OIT!#REF!=""),"",OIT!#REF!-OIT!#REF!)</f>
        <v>#REF!</v>
      </c>
      <c r="N199" s="9" t="e">
        <f>IF(OR(OIT!#REF!="",OIT!#REF!=""),"",OIT!#REF!-OIT!#REF!)</f>
        <v>#REF!</v>
      </c>
      <c r="O199" s="9">
        <f t="shared" si="12"/>
        <v>4409.929331015348</v>
      </c>
      <c r="P199" s="9">
        <f t="shared" si="13"/>
        <v>42058.721392562147</v>
      </c>
      <c r="Q199" s="9">
        <f t="shared" si="14"/>
        <v>17.578888556055684</v>
      </c>
      <c r="R199" s="9">
        <f t="shared" si="15"/>
        <v>111840.73228335305</v>
      </c>
    </row>
    <row r="200" spans="1:18" ht="15.5">
      <c r="A200" s="7" t="s">
        <v>10</v>
      </c>
      <c r="B200" s="7" t="s">
        <v>11</v>
      </c>
      <c r="C200" s="8">
        <v>2008</v>
      </c>
      <c r="D200" s="9">
        <v>4.4400560000000002</v>
      </c>
      <c r="E200" s="9">
        <v>1.8894704580307</v>
      </c>
      <c r="F200" s="9">
        <v>2397.88</v>
      </c>
      <c r="G200" s="9">
        <v>2.5309610366821298</v>
      </c>
      <c r="H200" s="9">
        <v>81194.7734375</v>
      </c>
      <c r="I200" s="9">
        <v>221646.71875</v>
      </c>
      <c r="J200" s="9">
        <v>0.88863688707351696</v>
      </c>
      <c r="K200" s="9">
        <v>0.54926800727844205</v>
      </c>
      <c r="L200" s="9" t="e">
        <f>IF(OR(OIT!#REF!="",OIT!#REF!=""),"",OIT!#REF!-OIT!#REF!)</f>
        <v>#REF!</v>
      </c>
      <c r="M200" s="9" t="e">
        <f>IF(OR(OIT!#REF!="",OIT!#REF!=""),"",OIT!#REF!-OIT!#REF!)</f>
        <v>#REF!</v>
      </c>
      <c r="N200" s="9" t="e">
        <f>IF(OR(OIT!#REF!="",OIT!#REF!=""),"",OIT!#REF!-OIT!#REF!)</f>
        <v>#REF!</v>
      </c>
      <c r="O200" s="9">
        <f t="shared" si="12"/>
        <v>4530.723421902655</v>
      </c>
      <c r="P200" s="9">
        <f t="shared" si="13"/>
        <v>42972.237587734096</v>
      </c>
      <c r="Q200" s="9">
        <f t="shared" si="14"/>
        <v>17.920929148970796</v>
      </c>
      <c r="R200" s="9">
        <f t="shared" si="15"/>
        <v>117306.26314264326</v>
      </c>
    </row>
    <row r="201" spans="1:18" ht="15.5">
      <c r="A201" s="7" t="s">
        <v>10</v>
      </c>
      <c r="B201" s="7" t="s">
        <v>11</v>
      </c>
      <c r="C201" s="8">
        <v>2009</v>
      </c>
      <c r="D201" s="9">
        <v>4.4997910000000001</v>
      </c>
      <c r="E201" s="9">
        <v>1.8815567493438701</v>
      </c>
      <c r="F201" s="9">
        <v>2354.2399999999998</v>
      </c>
      <c r="G201" s="9">
        <v>2.5254981517791801</v>
      </c>
      <c r="H201" s="9">
        <v>80485.5703125</v>
      </c>
      <c r="I201" s="9">
        <v>233213.875</v>
      </c>
      <c r="J201" s="9">
        <v>0.87551969289779696</v>
      </c>
      <c r="K201" s="9">
        <v>0.55950880050659202</v>
      </c>
      <c r="L201" s="9" t="e">
        <f>IF(OR(OIT!#REF!="",OIT!#REF!=""),"",OIT!#REF!-OIT!#REF!)</f>
        <v>#REF!</v>
      </c>
      <c r="M201" s="9" t="e">
        <f>IF(OR(OIT!#REF!="",OIT!#REF!=""),"",OIT!#REF!-OIT!#REF!)</f>
        <v>#REF!</v>
      </c>
      <c r="N201" s="9" t="e">
        <f>IF(OR(OIT!#REF!="",OIT!#REF!=""),"",OIT!#REF!-OIT!#REF!)</f>
        <v>#REF!</v>
      </c>
      <c r="O201" s="9">
        <f t="shared" si="12"/>
        <v>4429.6361615753121</v>
      </c>
      <c r="P201" s="9">
        <f t="shared" si="13"/>
        <v>42776.052511074486</v>
      </c>
      <c r="Q201" s="9">
        <f t="shared" si="14"/>
        <v>18.169792591696041</v>
      </c>
      <c r="R201" s="9">
        <f t="shared" si="15"/>
        <v>123947.29793896757</v>
      </c>
    </row>
    <row r="202" spans="1:18" ht="15.5">
      <c r="A202" s="7" t="s">
        <v>10</v>
      </c>
      <c r="B202" s="7" t="s">
        <v>11</v>
      </c>
      <c r="C202" s="8">
        <v>2010</v>
      </c>
      <c r="D202" s="9">
        <v>4.5559620000000001</v>
      </c>
      <c r="E202" s="9">
        <v>1.9407755136489899</v>
      </c>
      <c r="F202" s="9">
        <v>2249.27</v>
      </c>
      <c r="G202" s="9">
        <v>2.5200469493865998</v>
      </c>
      <c r="H202" s="9">
        <v>84799.875</v>
      </c>
      <c r="I202" s="9">
        <v>245274.8125</v>
      </c>
      <c r="J202" s="9">
        <v>0.91186940670013406</v>
      </c>
      <c r="K202" s="9">
        <v>0.56543558835983299</v>
      </c>
      <c r="L202" s="9" t="e">
        <f>IF(OR(OIT!#REF!="",OIT!#REF!=""),"",OIT!#REF!-OIT!#REF!)</f>
        <v>#REF!</v>
      </c>
      <c r="M202" s="9" t="e">
        <f>IF(OR(OIT!#REF!="",OIT!#REF!=""),"",OIT!#REF!-OIT!#REF!)</f>
        <v>#REF!</v>
      </c>
      <c r="N202" s="9" t="e">
        <f>IF(OR(OIT!#REF!="",OIT!#REF!=""),"",OIT!#REF!-OIT!#REF!)</f>
        <v>#REF!</v>
      </c>
      <c r="O202" s="9">
        <f t="shared" si="12"/>
        <v>4365.3281395852637</v>
      </c>
      <c r="P202" s="9">
        <f t="shared" si="13"/>
        <v>43693.809203395052</v>
      </c>
      <c r="Q202" s="9">
        <f t="shared" si="14"/>
        <v>19.42577334130409</v>
      </c>
      <c r="R202" s="9">
        <f t="shared" si="15"/>
        <v>126379.7954864143</v>
      </c>
    </row>
    <row r="203" spans="1:18" ht="15.5">
      <c r="A203" s="7" t="s">
        <v>10</v>
      </c>
      <c r="B203" s="7" t="s">
        <v>11</v>
      </c>
      <c r="C203" s="8">
        <v>2011</v>
      </c>
      <c r="D203" s="9">
        <v>4.6098330000000001</v>
      </c>
      <c r="E203" s="9">
        <v>1.98042011260986</v>
      </c>
      <c r="F203" s="9">
        <v>2289.89</v>
      </c>
      <c r="G203" s="9">
        <v>2.5459220409393302</v>
      </c>
      <c r="H203" s="9">
        <v>88533.7421875</v>
      </c>
      <c r="I203" s="9">
        <v>257818.4375</v>
      </c>
      <c r="J203" s="9">
        <v>0.90732991695404097</v>
      </c>
      <c r="K203" s="9">
        <v>0.573375225067139</v>
      </c>
      <c r="L203" s="9" t="e">
        <f>IF(OR(OIT!#REF!="",OIT!#REF!=""),"",OIT!#REF!-OIT!#REF!)</f>
        <v>#REF!</v>
      </c>
      <c r="M203" s="9" t="e">
        <f>IF(OR(OIT!#REF!="",OIT!#REF!=""),"",OIT!#REF!-OIT!#REF!)</f>
        <v>#REF!</v>
      </c>
      <c r="N203" s="9" t="e">
        <f>IF(OR(OIT!#REF!="",OIT!#REF!=""),"",OIT!#REF!-OIT!#REF!)</f>
        <v>#REF!</v>
      </c>
      <c r="O203" s="9">
        <f t="shared" si="12"/>
        <v>4534.9442116641922</v>
      </c>
      <c r="P203" s="9">
        <f t="shared" si="13"/>
        <v>44704.525885079733</v>
      </c>
      <c r="Q203" s="9">
        <f t="shared" si="14"/>
        <v>19.522564789173163</v>
      </c>
      <c r="R203" s="9">
        <f t="shared" si="15"/>
        <v>130183.70994033117</v>
      </c>
    </row>
    <row r="204" spans="1:18" ht="15.5">
      <c r="A204" s="7" t="s">
        <v>10</v>
      </c>
      <c r="B204" s="7" t="s">
        <v>11</v>
      </c>
      <c r="C204" s="8">
        <v>2012</v>
      </c>
      <c r="D204" s="9">
        <v>4.6639340000000002</v>
      </c>
      <c r="E204" s="9">
        <v>1.9712063074111901</v>
      </c>
      <c r="F204" s="9">
        <v>2242.6</v>
      </c>
      <c r="G204" s="9">
        <v>2.5681092739105198</v>
      </c>
      <c r="H204" s="9">
        <v>92856.484375</v>
      </c>
      <c r="I204" s="9">
        <v>272038.0625</v>
      </c>
      <c r="J204" s="9">
        <v>0.94026464223861705</v>
      </c>
      <c r="K204" s="9">
        <v>0.57547795772552501</v>
      </c>
      <c r="L204" s="9" t="e">
        <f>IF(OR(OIT!#REF!="",OIT!#REF!=""),"",OIT!#REF!-OIT!#REF!)</f>
        <v>#REF!</v>
      </c>
      <c r="M204" s="9" t="e">
        <f>IF(OR(OIT!#REF!="",OIT!#REF!=""),"",OIT!#REF!-OIT!#REF!)</f>
        <v>#REF!</v>
      </c>
      <c r="N204" s="9" t="e">
        <f>IF(OR(OIT!#REF!="",OIT!#REF!=""),"",OIT!#REF!-OIT!#REF!)</f>
        <v>#REF!</v>
      </c>
      <c r="O204" s="9">
        <f t="shared" si="12"/>
        <v>4420.6272650003348</v>
      </c>
      <c r="P204" s="9">
        <f t="shared" si="13"/>
        <v>47106.42616446859</v>
      </c>
      <c r="Q204" s="9">
        <f t="shared" si="14"/>
        <v>21.005273416779001</v>
      </c>
      <c r="R204" s="9">
        <f t="shared" si="15"/>
        <v>138005.88070219348</v>
      </c>
    </row>
    <row r="205" spans="1:18" ht="15.5">
      <c r="A205" s="7" t="s">
        <v>10</v>
      </c>
      <c r="B205" s="7" t="s">
        <v>11</v>
      </c>
      <c r="C205" s="8">
        <v>2013</v>
      </c>
      <c r="D205" s="9">
        <v>4.7161470000000003</v>
      </c>
      <c r="E205" s="9">
        <v>2.03173851966858</v>
      </c>
      <c r="F205" s="9">
        <v>2156.56</v>
      </c>
      <c r="G205" s="9">
        <v>2.5858325958252002</v>
      </c>
      <c r="H205" s="9">
        <v>95173.0390625</v>
      </c>
      <c r="I205" s="9">
        <v>286845.5</v>
      </c>
      <c r="J205" s="9">
        <v>0.94343000650405895</v>
      </c>
      <c r="K205" s="9">
        <v>0.58737754821777299</v>
      </c>
      <c r="L205" s="9" t="e">
        <f>IF(OR(OIT!#REF!="",OIT!#REF!=""),"",OIT!#REF!-OIT!#REF!)</f>
        <v>#REF!</v>
      </c>
      <c r="M205" s="9" t="e">
        <f>IF(OR(OIT!#REF!="",OIT!#REF!=""),"",OIT!#REF!-OIT!#REF!)</f>
        <v>#REF!</v>
      </c>
      <c r="N205" s="9" t="e">
        <f>IF(OR(OIT!#REF!="",OIT!#REF!=""),"",OIT!#REF!-OIT!#REF!)</f>
        <v>#REF!</v>
      </c>
      <c r="O205" s="9">
        <f t="shared" si="12"/>
        <v>4381.5660219764732</v>
      </c>
      <c r="P205" s="9">
        <f t="shared" si="13"/>
        <v>46843.15335913637</v>
      </c>
      <c r="Q205" s="9">
        <f t="shared" si="14"/>
        <v>21.721238156664487</v>
      </c>
      <c r="R205" s="9">
        <f t="shared" si="15"/>
        <v>141182.29153168324</v>
      </c>
    </row>
    <row r="206" spans="1:18" ht="15.5">
      <c r="A206" s="7" t="s">
        <v>10</v>
      </c>
      <c r="B206" s="7" t="s">
        <v>11</v>
      </c>
      <c r="C206" s="8">
        <v>2014</v>
      </c>
      <c r="D206" s="9">
        <v>4.7671190000000001</v>
      </c>
      <c r="E206" s="9">
        <v>2.0684666633606001</v>
      </c>
      <c r="F206" s="9">
        <v>2135.5300000000002</v>
      </c>
      <c r="G206" s="9">
        <v>2.6036784648895299</v>
      </c>
      <c r="H206" s="9">
        <v>98544.171875</v>
      </c>
      <c r="I206" s="9">
        <v>302080.9375</v>
      </c>
      <c r="J206" s="9">
        <v>0.94782924652099598</v>
      </c>
      <c r="K206" s="9">
        <v>0.58774411678314198</v>
      </c>
      <c r="L206" s="9" t="e">
        <f>IF(OR(OIT!#REF!="",OIT!#REF!=""),"",OIT!#REF!-OIT!#REF!)</f>
        <v>#REF!</v>
      </c>
      <c r="M206" s="9" t="e">
        <f>IF(OR(OIT!#REF!="",OIT!#REF!=""),"",OIT!#REF!-OIT!#REF!)</f>
        <v>#REF!</v>
      </c>
      <c r="N206" s="9" t="e">
        <f>IF(OR(OIT!#REF!="",OIT!#REF!=""),"",OIT!#REF!-OIT!#REF!)</f>
        <v>#REF!</v>
      </c>
      <c r="O206" s="9">
        <f t="shared" si="12"/>
        <v>4417.272613606463</v>
      </c>
      <c r="P206" s="9">
        <f t="shared" si="13"/>
        <v>47641.169964468791</v>
      </c>
      <c r="Q206" s="9">
        <f t="shared" si="14"/>
        <v>22.308827300234032</v>
      </c>
      <c r="R206" s="9">
        <f t="shared" si="15"/>
        <v>146040.99879918518</v>
      </c>
    </row>
    <row r="207" spans="1:18" ht="15.5">
      <c r="A207" s="7" t="s">
        <v>10</v>
      </c>
      <c r="B207" s="7" t="s">
        <v>11</v>
      </c>
      <c r="C207" s="8">
        <v>2015</v>
      </c>
      <c r="D207" s="9">
        <v>4.8180379999999996</v>
      </c>
      <c r="E207" s="9">
        <v>2.10685110092163</v>
      </c>
      <c r="F207" s="9">
        <v>2156.91</v>
      </c>
      <c r="G207" s="9">
        <v>2.6216473579406698</v>
      </c>
      <c r="H207" s="9">
        <v>102143.078125</v>
      </c>
      <c r="I207" s="9">
        <v>317543.59375</v>
      </c>
      <c r="J207" s="9">
        <v>0.94284152984619096</v>
      </c>
      <c r="K207" s="9">
        <v>0.58889067173004195</v>
      </c>
      <c r="L207" s="9" t="e">
        <f>IF(OR(OIT!#REF!="",OIT!#REF!=""),"",OIT!#REF!-OIT!#REF!)</f>
        <v>#REF!</v>
      </c>
      <c r="M207" s="9" t="e">
        <f>IF(OR(OIT!#REF!="",OIT!#REF!=""),"",OIT!#REF!-OIT!#REF!)</f>
        <v>#REF!</v>
      </c>
      <c r="N207" s="9" t="e">
        <f>IF(OR(OIT!#REF!="",OIT!#REF!=""),"",OIT!#REF!-OIT!#REF!)</f>
        <v>#REF!</v>
      </c>
      <c r="O207" s="9">
        <f t="shared" si="12"/>
        <v>4544.288208088873</v>
      </c>
      <c r="P207" s="9">
        <f t="shared" si="13"/>
        <v>48481.393905966157</v>
      </c>
      <c r="Q207" s="9">
        <f t="shared" si="14"/>
        <v>22.477244718586384</v>
      </c>
      <c r="R207" s="9">
        <f t="shared" si="15"/>
        <v>150719.5233735751</v>
      </c>
    </row>
    <row r="208" spans="1:18" ht="15.5">
      <c r="A208" s="7" t="s">
        <v>10</v>
      </c>
      <c r="B208" s="7" t="s">
        <v>11</v>
      </c>
      <c r="C208" s="8">
        <v>2016</v>
      </c>
      <c r="D208" s="9">
        <v>4.8669979999999997</v>
      </c>
      <c r="E208" s="9">
        <v>2.1461956501007098</v>
      </c>
      <c r="F208" s="9">
        <v>2212.38</v>
      </c>
      <c r="G208" s="9">
        <v>2.6397402286529501</v>
      </c>
      <c r="H208" s="9">
        <v>106437.5078125</v>
      </c>
      <c r="I208" s="9">
        <v>334284.59375</v>
      </c>
      <c r="J208" s="9">
        <v>0.93276280164718595</v>
      </c>
      <c r="K208" s="9">
        <v>0.57978600263595603</v>
      </c>
      <c r="L208" s="9" t="e">
        <f>IF(OR(OIT!#REF!="",OIT!#REF!=""),"",OIT!#REF!-OIT!#REF!)</f>
        <v>#REF!</v>
      </c>
      <c r="M208" s="9" t="e">
        <f>IF(OR(OIT!#REF!="",OIT!#REF!=""),"",OIT!#REF!-OIT!#REF!)</f>
        <v>#REF!</v>
      </c>
      <c r="N208" s="9" t="e">
        <f>IF(OR(OIT!#REF!="",OIT!#REF!=""),"",OIT!#REF!-OIT!#REF!)</f>
        <v>#REF!</v>
      </c>
      <c r="O208" s="9">
        <f t="shared" si="12"/>
        <v>4748.2003323698082</v>
      </c>
      <c r="P208" s="9">
        <f t="shared" si="13"/>
        <v>49593.571679965637</v>
      </c>
      <c r="Q208" s="9">
        <f t="shared" si="14"/>
        <v>22.416389444835715</v>
      </c>
      <c r="R208" s="9">
        <f t="shared" si="15"/>
        <v>155756.81263463272</v>
      </c>
    </row>
    <row r="209" spans="1:18" ht="15.5">
      <c r="A209" s="7" t="s">
        <v>10</v>
      </c>
      <c r="B209" s="7" t="s">
        <v>11</v>
      </c>
      <c r="C209" s="8">
        <v>2017</v>
      </c>
      <c r="D209" s="9">
        <v>4.9131770000000001</v>
      </c>
      <c r="E209" s="9">
        <v>2.1925356388092001</v>
      </c>
      <c r="F209" s="9">
        <v>2185.2800000000002</v>
      </c>
      <c r="G209" s="9">
        <v>2.65795803070068</v>
      </c>
      <c r="H209" s="9">
        <v>110862.859375</v>
      </c>
      <c r="I209" s="9">
        <v>350167.40625</v>
      </c>
      <c r="J209" s="9">
        <v>0.94302266836166404</v>
      </c>
      <c r="K209" s="9">
        <v>0.54765200614929199</v>
      </c>
      <c r="L209" s="9" t="e">
        <f>IF(OR(OIT!#REF!="",OIT!#REF!=""),"",OIT!#REF!-OIT!#REF!)</f>
        <v>#REF!</v>
      </c>
      <c r="M209" s="9" t="e">
        <f>IF(OR(OIT!#REF!="",OIT!#REF!=""),"",OIT!#REF!-OIT!#REF!)</f>
        <v>#REF!</v>
      </c>
      <c r="N209" s="9" t="e">
        <f>IF(OR(OIT!#REF!="",OIT!#REF!=""),"",OIT!#REF!-OIT!#REF!)</f>
        <v>#REF!</v>
      </c>
      <c r="O209" s="9">
        <f t="shared" si="12"/>
        <v>4791.3042807769689</v>
      </c>
      <c r="P209" s="9">
        <f t="shared" si="13"/>
        <v>50563.766176777557</v>
      </c>
      <c r="Q209" s="9">
        <f t="shared" si="14"/>
        <v>23.138346654331507</v>
      </c>
      <c r="R209" s="9">
        <f t="shared" si="15"/>
        <v>159708.87772669515</v>
      </c>
    </row>
    <row r="210" spans="1:18" ht="15.5">
      <c r="A210" s="7" t="s">
        <v>10</v>
      </c>
      <c r="B210" s="7" t="s">
        <v>11</v>
      </c>
      <c r="C210" s="8">
        <v>2018</v>
      </c>
      <c r="D210" s="9">
        <v>4.9578179999999996</v>
      </c>
      <c r="E210" s="9">
        <v>2.1961886882782</v>
      </c>
      <c r="F210" s="9">
        <v>2127.9899999999998</v>
      </c>
      <c r="G210" s="9">
        <v>2.67630171775818</v>
      </c>
      <c r="H210" s="9">
        <v>113762.9296875</v>
      </c>
      <c r="I210" s="9">
        <v>365779.0625</v>
      </c>
      <c r="J210" s="9">
        <v>0.95836222171783503</v>
      </c>
      <c r="K210" s="9">
        <v>0.554892897605896</v>
      </c>
      <c r="L210" s="9" t="e">
        <f>IF(OR(OIT!#REF!="",OIT!#REF!=""),"",OIT!#REF!-OIT!#REF!)</f>
        <v>#REF!</v>
      </c>
      <c r="M210" s="9" t="e">
        <f>IF(OR(OIT!#REF!="",OIT!#REF!=""),"",OIT!#REF!-OIT!#REF!)</f>
        <v>#REF!</v>
      </c>
      <c r="N210" s="9" t="e">
        <f>IF(OR(OIT!#REF!="",OIT!#REF!=""),"",OIT!#REF!-OIT!#REF!)</f>
        <v>#REF!</v>
      </c>
      <c r="O210" s="9">
        <f t="shared" si="12"/>
        <v>4673.4675667691263</v>
      </c>
      <c r="P210" s="9">
        <f t="shared" si="13"/>
        <v>51800.161932665957</v>
      </c>
      <c r="Q210" s="9">
        <f t="shared" si="14"/>
        <v>24.342295749823055</v>
      </c>
      <c r="R210" s="9">
        <f t="shared" si="15"/>
        <v>166551.74687506873</v>
      </c>
    </row>
    <row r="211" spans="1:18" ht="15.5">
      <c r="A211" s="7" t="s">
        <v>10</v>
      </c>
      <c r="B211" s="7" t="s">
        <v>11</v>
      </c>
      <c r="C211" s="8">
        <v>2019</v>
      </c>
      <c r="D211" s="9">
        <v>4.9995529999999997</v>
      </c>
      <c r="E211" s="9">
        <v>2.2546761035919198</v>
      </c>
      <c r="F211" s="9">
        <v>2069.25</v>
      </c>
      <c r="G211" s="9">
        <v>2.6947717666625999</v>
      </c>
      <c r="H211" s="9">
        <v>116513.15625</v>
      </c>
      <c r="I211" s="9">
        <v>377905.40625</v>
      </c>
      <c r="J211" s="9">
        <v>0.96483600139617898</v>
      </c>
      <c r="K211" s="9">
        <v>0.55775392055511497</v>
      </c>
      <c r="L211" s="9" t="e">
        <f>IF(OR(OIT!#REF!="",OIT!#REF!=""),"",OIT!#REF!-OIT!#REF!)</f>
        <v>#REF!</v>
      </c>
      <c r="M211" s="9" t="e">
        <f>IF(OR(OIT!#REF!="",OIT!#REF!=""),"",OIT!#REF!-OIT!#REF!)</f>
        <v>#REF!</v>
      </c>
      <c r="N211" s="9" t="e">
        <f>IF(OR(OIT!#REF!="",OIT!#REF!=""),"",OIT!#REF!-OIT!#REF!)</f>
        <v>#REF!</v>
      </c>
      <c r="O211" s="9">
        <f t="shared" si="12"/>
        <v>4665.4885273575801</v>
      </c>
      <c r="P211" s="9">
        <f t="shared" si="13"/>
        <v>51676.227935526142</v>
      </c>
      <c r="Q211" s="9">
        <f t="shared" si="14"/>
        <v>24.973409658342945</v>
      </c>
      <c r="R211" s="9">
        <f t="shared" si="15"/>
        <v>167609.62057829933</v>
      </c>
    </row>
    <row r="212" spans="1:18" ht="15.5">
      <c r="A212" s="7" t="s">
        <v>10</v>
      </c>
      <c r="B212" s="7" t="s">
        <v>11</v>
      </c>
      <c r="C212" s="8">
        <v>2020</v>
      </c>
      <c r="D212" s="9">
        <v>5.0343200000000001</v>
      </c>
      <c r="E212" s="9">
        <v>2.0194475650787398</v>
      </c>
      <c r="F212" s="9">
        <v>1929.48</v>
      </c>
      <c r="G212" s="9">
        <v>2.7133693695068399</v>
      </c>
      <c r="H212" s="9">
        <v>111534.140625</v>
      </c>
      <c r="I212" s="9">
        <v>388582.1875</v>
      </c>
      <c r="J212" s="9">
        <v>1.00614309310913</v>
      </c>
      <c r="K212" s="9">
        <v>0.56291723251342796</v>
      </c>
      <c r="L212" s="9" t="e">
        <f>IF(OR(OIT!#REF!="",OIT!#REF!=""),"",OIT!#REF!-OIT!#REF!)</f>
        <v>#REF!</v>
      </c>
      <c r="M212" s="9" t="e">
        <f>IF(OR(OIT!#REF!="",OIT!#REF!=""),"",OIT!#REF!-OIT!#REF!)</f>
        <v>#REF!</v>
      </c>
      <c r="N212" s="9" t="e">
        <f>IF(OR(OIT!#REF!="",OIT!#REF!=""),"",OIT!#REF!-OIT!#REF!)</f>
        <v>#REF!</v>
      </c>
      <c r="O212" s="9">
        <f t="shared" si="12"/>
        <v>3896.4836878681267</v>
      </c>
      <c r="P212" s="9">
        <f t="shared" si="13"/>
        <v>55230.025554365508</v>
      </c>
      <c r="Q212" s="9">
        <f t="shared" si="14"/>
        <v>28.624305799679451</v>
      </c>
      <c r="R212" s="9">
        <f t="shared" si="15"/>
        <v>192420.04309473064</v>
      </c>
    </row>
    <row r="213" spans="1:18" ht="15.5">
      <c r="A213" s="7" t="s">
        <v>10</v>
      </c>
      <c r="B213" s="7" t="s">
        <v>11</v>
      </c>
      <c r="C213" s="8">
        <v>2021</v>
      </c>
      <c r="D213" s="9">
        <v>5.0599879999999997</v>
      </c>
      <c r="E213" s="9">
        <v>2.1168475151061998</v>
      </c>
      <c r="F213" s="9">
        <v>2080.56</v>
      </c>
      <c r="G213" s="9">
        <v>2.7089526653289799</v>
      </c>
      <c r="H213" s="9">
        <v>120385.2265625</v>
      </c>
      <c r="I213" s="9">
        <v>401313.125</v>
      </c>
      <c r="J213" s="9">
        <v>1</v>
      </c>
      <c r="K213" s="9">
        <v>0.54382443428039595</v>
      </c>
      <c r="L213" s="9" t="e">
        <f>IF(OR(OIT!#REF!="",OIT!#REF!=""),"",OIT!#REF!-OIT!#REF!)</f>
        <v>#REF!</v>
      </c>
      <c r="M213" s="9" t="e">
        <f>IF(OR(OIT!#REF!="",OIT!#REF!=""),"",OIT!#REF!-OIT!#REF!)</f>
        <v>#REF!</v>
      </c>
      <c r="N213" s="9" t="e">
        <f>IF(OR(OIT!#REF!="",OIT!#REF!=""),"",OIT!#REF!-OIT!#REF!)</f>
        <v>#REF!</v>
      </c>
      <c r="O213" s="9">
        <f t="shared" si="12"/>
        <v>4404.2282660293549</v>
      </c>
      <c r="P213" s="9">
        <f t="shared" si="13"/>
        <v>56870.051198024252</v>
      </c>
      <c r="Q213" s="9">
        <f t="shared" si="14"/>
        <v>27.334011611308615</v>
      </c>
      <c r="R213" s="9">
        <f t="shared" si="15"/>
        <v>189580.55416658887</v>
      </c>
    </row>
    <row r="214" spans="1:18" ht="15.5">
      <c r="A214" s="7" t="s">
        <v>10</v>
      </c>
      <c r="B214" s="7" t="s">
        <v>11</v>
      </c>
      <c r="C214" s="8">
        <v>2022</v>
      </c>
      <c r="D214" s="9">
        <v>5.0817649999999999</v>
      </c>
      <c r="E214" s="9">
        <v>2.2301802635192902</v>
      </c>
      <c r="F214" s="9">
        <v>2155.9899999999998</v>
      </c>
      <c r="G214" s="9">
        <v>2.7045552730560298</v>
      </c>
      <c r="H214" s="9">
        <v>125864.5390625</v>
      </c>
      <c r="I214" s="9">
        <v>413985.25</v>
      </c>
      <c r="J214" s="9">
        <v>0.98336482048034701</v>
      </c>
      <c r="K214" s="9">
        <v>0.51700007915496804</v>
      </c>
      <c r="L214" s="9" t="e">
        <f>IF(OR(OIT!#REF!="",OIT!#REF!=""),"",OIT!#REF!-OIT!#REF!)</f>
        <v>#REF!</v>
      </c>
      <c r="M214" s="9" t="e">
        <f>IF(OR(OIT!#REF!="",OIT!#REF!=""),"",OIT!#REF!-OIT!#REF!)</f>
        <v>#REF!</v>
      </c>
      <c r="N214" s="9" t="e">
        <f>IF(OR(OIT!#REF!="",OIT!#REF!=""),"",OIT!#REF!-OIT!#REF!)</f>
        <v>#REF!</v>
      </c>
      <c r="O214" s="9">
        <f t="shared" si="12"/>
        <v>4808.246346344954</v>
      </c>
      <c r="P214" s="9">
        <f t="shared" si="13"/>
        <v>56436.935220600528</v>
      </c>
      <c r="Q214" s="9">
        <f t="shared" si="14"/>
        <v>26.176807508662161</v>
      </c>
      <c r="R214" s="9">
        <f t="shared" si="15"/>
        <v>185628.60445492377</v>
      </c>
    </row>
    <row r="215" spans="1:18" ht="15.5">
      <c r="A215" s="7" t="s">
        <v>10</v>
      </c>
      <c r="B215" s="7" t="s">
        <v>11</v>
      </c>
      <c r="C215" s="8">
        <v>2023</v>
      </c>
      <c r="D215" s="9">
        <v>5.1055250000000001</v>
      </c>
      <c r="E215" s="9">
        <v>2.1584608554840101</v>
      </c>
      <c r="F215" s="9">
        <v>2176.92</v>
      </c>
      <c r="G215" s="9">
        <v>2.7001767158508301</v>
      </c>
      <c r="H215" s="9">
        <v>132298.65625</v>
      </c>
      <c r="I215" s="9">
        <v>428689.46875</v>
      </c>
      <c r="J215" s="9">
        <v>1.0308202505111701</v>
      </c>
      <c r="K215" s="9">
        <v>0.53068888187408503</v>
      </c>
      <c r="L215" s="9" t="e">
        <f>IF(OR(OIT!#REF!="",OIT!#REF!=""),"",OIT!#REF!-OIT!#REF!)</f>
        <v>#REF!</v>
      </c>
      <c r="M215" s="9" t="e">
        <f>IF(OR(OIT!#REF!="",OIT!#REF!=""),"",OIT!#REF!-OIT!#REF!)</f>
        <v>#REF!</v>
      </c>
      <c r="N215" s="9" t="e">
        <f>IF(OR(OIT!#REF!="",OIT!#REF!=""),"",OIT!#REF!-OIT!#REF!)</f>
        <v>#REF!</v>
      </c>
      <c r="O215" s="9">
        <f t="shared" si="12"/>
        <v>4698.7966055202514</v>
      </c>
      <c r="P215" s="9">
        <f t="shared" si="13"/>
        <v>61293.053294836587</v>
      </c>
      <c r="Q215" s="9">
        <f t="shared" si="14"/>
        <v>28.15585933099819</v>
      </c>
      <c r="R215" s="9">
        <f t="shared" si="15"/>
        <v>198608.86875053906</v>
      </c>
    </row>
    <row r="216" spans="1:18" ht="15.5">
      <c r="A216" s="7" t="s">
        <v>10</v>
      </c>
      <c r="B216" s="7" t="s">
        <v>11</v>
      </c>
      <c r="C216" s="8">
        <v>2024</v>
      </c>
      <c r="D216" s="9"/>
      <c r="E216" s="9"/>
      <c r="F216" s="9"/>
      <c r="G216" s="9"/>
      <c r="H216" s="9"/>
      <c r="I216" s="9"/>
      <c r="J216" s="9"/>
      <c r="K216" s="9"/>
      <c r="L216" s="9" t="e">
        <f>IF(OR(OIT!#REF!="",OIT!#REF!=""),"",OIT!#REF!-OIT!#REF!)</f>
        <v>#REF!</v>
      </c>
      <c r="M216" s="9" t="e">
        <f>IF(OR(OIT!#REF!="",OIT!#REF!=""),"",OIT!#REF!-OIT!#REF!)</f>
        <v>#REF!</v>
      </c>
      <c r="N216" s="9" t="e">
        <f>IF(OR(OIT!#REF!="",OIT!#REF!=""),"",OIT!#REF!-OIT!#REF!)</f>
        <v>#REF!</v>
      </c>
      <c r="O216" s="9">
        <f t="shared" si="12"/>
        <v>0</v>
      </c>
      <c r="P216" s="9" t="str">
        <f t="shared" si="13"/>
        <v/>
      </c>
      <c r="Q216" s="9" t="str">
        <f t="shared" si="14"/>
        <v/>
      </c>
      <c r="R216" s="9" t="str">
        <f t="shared" si="15"/>
        <v/>
      </c>
    </row>
    <row r="217" spans="1:18" ht="15.5">
      <c r="A217" s="7" t="s">
        <v>10</v>
      </c>
      <c r="B217" s="7" t="s">
        <v>11</v>
      </c>
      <c r="C217" s="8">
        <v>2025</v>
      </c>
      <c r="D217" s="9"/>
      <c r="E217" s="9"/>
      <c r="F217" s="9"/>
      <c r="G217" s="9"/>
      <c r="H217" s="9"/>
      <c r="I217" s="9"/>
      <c r="J217" s="9"/>
      <c r="K217" s="9"/>
      <c r="L217" s="9" t="e">
        <f>IF(OR(OIT!#REF!="",OIT!#REF!=""),"",OIT!#REF!-OIT!#REF!)</f>
        <v>#REF!</v>
      </c>
      <c r="M217" s="9" t="e">
        <f>IF(OR(OIT!#REF!="",OIT!#REF!=""),"",OIT!#REF!-OIT!#REF!)</f>
        <v>#REF!</v>
      </c>
      <c r="N217" s="9" t="e">
        <f>IF(OR(OIT!#REF!="",OIT!#REF!=""),"",OIT!#REF!-OIT!#REF!)</f>
        <v>#REF!</v>
      </c>
      <c r="O217" s="9">
        <f t="shared" si="12"/>
        <v>0</v>
      </c>
      <c r="P217" s="9" t="str">
        <f t="shared" si="13"/>
        <v/>
      </c>
      <c r="Q217" s="9" t="str">
        <f t="shared" si="14"/>
        <v/>
      </c>
      <c r="R217" s="9" t="str">
        <f t="shared" si="15"/>
        <v/>
      </c>
    </row>
    <row r="218" spans="1:18" ht="15.5">
      <c r="A218" s="7" t="s">
        <v>12</v>
      </c>
      <c r="B218" s="7" t="s">
        <v>13</v>
      </c>
      <c r="C218" s="8">
        <v>1990</v>
      </c>
      <c r="D218" s="9"/>
      <c r="E218" s="9"/>
      <c r="F218" s="9"/>
      <c r="G218" s="9"/>
      <c r="H218" s="9"/>
      <c r="I218" s="9"/>
      <c r="J218" s="9"/>
      <c r="K218" s="9"/>
      <c r="L218" s="9" t="e">
        <f>IF(OR(OIT!#REF!="",OIT!#REF!=""),"",OIT!#REF!-OIT!#REF!)</f>
        <v>#REF!</v>
      </c>
      <c r="M218" s="9" t="e">
        <f>IF(OR(OIT!#REF!="",OIT!#REF!=""),"",OIT!#REF!-OIT!#REF!)</f>
        <v>#REF!</v>
      </c>
      <c r="N218" s="9" t="e">
        <f>IF(OR(OIT!#REF!="",OIT!#REF!=""),"",OIT!#REF!-OIT!#REF!)</f>
        <v>#REF!</v>
      </c>
      <c r="O218" s="9">
        <f t="shared" si="12"/>
        <v>0</v>
      </c>
      <c r="P218" s="9" t="str">
        <f t="shared" si="13"/>
        <v/>
      </c>
      <c r="Q218" s="9" t="str">
        <f t="shared" si="14"/>
        <v/>
      </c>
      <c r="R218" s="9" t="str">
        <f t="shared" si="15"/>
        <v/>
      </c>
    </row>
    <row r="219" spans="1:18" ht="15.5">
      <c r="A219" s="7" t="s">
        <v>12</v>
      </c>
      <c r="B219" s="7" t="s">
        <v>13</v>
      </c>
      <c r="C219" s="8">
        <v>1991</v>
      </c>
      <c r="D219" s="9"/>
      <c r="E219" s="9"/>
      <c r="F219" s="9"/>
      <c r="G219" s="9"/>
      <c r="H219" s="9"/>
      <c r="I219" s="9"/>
      <c r="J219" s="9"/>
      <c r="K219" s="9"/>
      <c r="L219" s="9" t="e">
        <f>IF(OR(OIT!#REF!="",OIT!#REF!=""),"",OIT!#REF!-OIT!#REF!)</f>
        <v>#REF!</v>
      </c>
      <c r="M219" s="9" t="e">
        <f>IF(OR(OIT!#REF!="",OIT!#REF!=""),"",OIT!#REF!-OIT!#REF!)</f>
        <v>#REF!</v>
      </c>
      <c r="N219" s="9" t="e">
        <f>IF(OR(OIT!#REF!="",OIT!#REF!=""),"",OIT!#REF!-OIT!#REF!)</f>
        <v>#REF!</v>
      </c>
      <c r="O219" s="9">
        <f t="shared" si="12"/>
        <v>0</v>
      </c>
      <c r="P219" s="9" t="str">
        <f t="shared" si="13"/>
        <v/>
      </c>
      <c r="Q219" s="9" t="str">
        <f t="shared" si="14"/>
        <v/>
      </c>
      <c r="R219" s="9" t="str">
        <f t="shared" si="15"/>
        <v/>
      </c>
    </row>
    <row r="220" spans="1:18" ht="15.5">
      <c r="A220" s="7" t="s">
        <v>12</v>
      </c>
      <c r="B220" s="7" t="s">
        <v>13</v>
      </c>
      <c r="C220" s="8">
        <v>1992</v>
      </c>
      <c r="D220" s="9"/>
      <c r="E220" s="9"/>
      <c r="F220" s="9"/>
      <c r="G220" s="9"/>
      <c r="H220" s="9"/>
      <c r="I220" s="9"/>
      <c r="J220" s="9"/>
      <c r="K220" s="9"/>
      <c r="L220" s="9" t="e">
        <f>IF(OR(OIT!#REF!="",OIT!#REF!=""),"",OIT!#REF!-OIT!#REF!)</f>
        <v>#REF!</v>
      </c>
      <c r="M220" s="9" t="e">
        <f>IF(OR(OIT!#REF!="",OIT!#REF!=""),"",OIT!#REF!-OIT!#REF!)</f>
        <v>#REF!</v>
      </c>
      <c r="N220" s="9" t="e">
        <f>IF(OR(OIT!#REF!="",OIT!#REF!=""),"",OIT!#REF!-OIT!#REF!)</f>
        <v>#REF!</v>
      </c>
      <c r="O220" s="9">
        <f t="shared" si="12"/>
        <v>0</v>
      </c>
      <c r="P220" s="9" t="str">
        <f t="shared" si="13"/>
        <v/>
      </c>
      <c r="Q220" s="9" t="str">
        <f t="shared" si="14"/>
        <v/>
      </c>
      <c r="R220" s="9" t="str">
        <f t="shared" si="15"/>
        <v/>
      </c>
    </row>
    <row r="221" spans="1:18" ht="15.5">
      <c r="A221" s="7" t="s">
        <v>12</v>
      </c>
      <c r="B221" s="7" t="s">
        <v>13</v>
      </c>
      <c r="C221" s="8">
        <v>1993</v>
      </c>
      <c r="D221" s="9"/>
      <c r="E221" s="9"/>
      <c r="F221" s="9"/>
      <c r="G221" s="9"/>
      <c r="H221" s="9"/>
      <c r="I221" s="9"/>
      <c r="J221" s="9"/>
      <c r="K221" s="9"/>
      <c r="L221" s="9" t="e">
        <f>IF(OR(OIT!#REF!="",OIT!#REF!=""),"",OIT!#REF!-OIT!#REF!)</f>
        <v>#REF!</v>
      </c>
      <c r="M221" s="9" t="e">
        <f>IF(OR(OIT!#REF!="",OIT!#REF!=""),"",OIT!#REF!-OIT!#REF!)</f>
        <v>#REF!</v>
      </c>
      <c r="N221" s="9" t="e">
        <f>IF(OR(OIT!#REF!="",OIT!#REF!=""),"",OIT!#REF!-OIT!#REF!)</f>
        <v>#REF!</v>
      </c>
      <c r="O221" s="9">
        <f t="shared" si="12"/>
        <v>0</v>
      </c>
      <c r="P221" s="9" t="str">
        <f t="shared" si="13"/>
        <v/>
      </c>
      <c r="Q221" s="9" t="str">
        <f t="shared" si="14"/>
        <v/>
      </c>
      <c r="R221" s="9" t="str">
        <f t="shared" si="15"/>
        <v/>
      </c>
    </row>
    <row r="222" spans="1:18" ht="15.5">
      <c r="A222" s="7" t="s">
        <v>12</v>
      </c>
      <c r="B222" s="7" t="s">
        <v>13</v>
      </c>
      <c r="C222" s="8">
        <v>1994</v>
      </c>
      <c r="D222" s="9"/>
      <c r="E222" s="9"/>
      <c r="F222" s="9"/>
      <c r="G222" s="9"/>
      <c r="H222" s="9"/>
      <c r="I222" s="9"/>
      <c r="J222" s="9"/>
      <c r="K222" s="9"/>
      <c r="L222" s="9" t="e">
        <f>IF(OR(OIT!#REF!="",OIT!#REF!=""),"",OIT!#REF!-OIT!#REF!)</f>
        <v>#REF!</v>
      </c>
      <c r="M222" s="9" t="e">
        <f>IF(OR(OIT!#REF!="",OIT!#REF!=""),"",OIT!#REF!-OIT!#REF!)</f>
        <v>#REF!</v>
      </c>
      <c r="N222" s="9" t="e">
        <f>IF(OR(OIT!#REF!="",OIT!#REF!=""),"",OIT!#REF!-OIT!#REF!)</f>
        <v>#REF!</v>
      </c>
      <c r="O222" s="9">
        <f t="shared" si="12"/>
        <v>0</v>
      </c>
      <c r="P222" s="9" t="str">
        <f t="shared" si="13"/>
        <v/>
      </c>
      <c r="Q222" s="9" t="str">
        <f t="shared" si="14"/>
        <v/>
      </c>
      <c r="R222" s="9" t="str">
        <f t="shared" si="15"/>
        <v/>
      </c>
    </row>
    <row r="223" spans="1:18" ht="15.5">
      <c r="A223" s="7" t="s">
        <v>12</v>
      </c>
      <c r="B223" s="7" t="s">
        <v>13</v>
      </c>
      <c r="C223" s="8">
        <v>1995</v>
      </c>
      <c r="D223" s="9"/>
      <c r="E223" s="9"/>
      <c r="F223" s="9"/>
      <c r="G223" s="9"/>
      <c r="H223" s="9"/>
      <c r="I223" s="9"/>
      <c r="J223" s="9"/>
      <c r="K223" s="9"/>
      <c r="L223" s="9" t="e">
        <f>IF(OR(OIT!#REF!="",OIT!#REF!=""),"",OIT!#REF!-OIT!#REF!)</f>
        <v>#REF!</v>
      </c>
      <c r="M223" s="9" t="e">
        <f>IF(OR(OIT!#REF!="",OIT!#REF!=""),"",OIT!#REF!-OIT!#REF!)</f>
        <v>#REF!</v>
      </c>
      <c r="N223" s="9" t="e">
        <f>IF(OR(OIT!#REF!="",OIT!#REF!=""),"",OIT!#REF!-OIT!#REF!)</f>
        <v>#REF!</v>
      </c>
      <c r="O223" s="9">
        <f t="shared" si="12"/>
        <v>0</v>
      </c>
      <c r="P223" s="9" t="str">
        <f t="shared" si="13"/>
        <v/>
      </c>
      <c r="Q223" s="9" t="str">
        <f t="shared" si="14"/>
        <v/>
      </c>
      <c r="R223" s="9" t="str">
        <f t="shared" si="15"/>
        <v/>
      </c>
    </row>
    <row r="224" spans="1:18" ht="15.5">
      <c r="A224" s="7" t="s">
        <v>12</v>
      </c>
      <c r="B224" s="7" t="s">
        <v>13</v>
      </c>
      <c r="C224" s="8">
        <v>1996</v>
      </c>
      <c r="D224" s="9"/>
      <c r="E224" s="9"/>
      <c r="F224" s="9"/>
      <c r="G224" s="9"/>
      <c r="H224" s="9"/>
      <c r="I224" s="9"/>
      <c r="J224" s="9"/>
      <c r="K224" s="9"/>
      <c r="L224" s="9" t="e">
        <f>IF(OR(OIT!#REF!="",OIT!#REF!=""),"",OIT!#REF!-OIT!#REF!)</f>
        <v>#REF!</v>
      </c>
      <c r="M224" s="9" t="e">
        <f>IF(OR(OIT!#REF!="",OIT!#REF!=""),"",OIT!#REF!-OIT!#REF!)</f>
        <v>#REF!</v>
      </c>
      <c r="N224" s="9" t="e">
        <f>IF(OR(OIT!#REF!="",OIT!#REF!=""),"",OIT!#REF!-OIT!#REF!)</f>
        <v>#REF!</v>
      </c>
      <c r="O224" s="9">
        <f t="shared" si="12"/>
        <v>0</v>
      </c>
      <c r="P224" s="9" t="str">
        <f t="shared" si="13"/>
        <v/>
      </c>
      <c r="Q224" s="9" t="str">
        <f t="shared" si="14"/>
        <v/>
      </c>
      <c r="R224" s="9" t="str">
        <f t="shared" si="15"/>
        <v/>
      </c>
    </row>
    <row r="225" spans="1:18" ht="15.5">
      <c r="A225" s="7" t="s">
        <v>12</v>
      </c>
      <c r="B225" s="7" t="s">
        <v>13</v>
      </c>
      <c r="C225" s="8">
        <v>1997</v>
      </c>
      <c r="D225" s="9"/>
      <c r="E225" s="9"/>
      <c r="F225" s="9"/>
      <c r="G225" s="9"/>
      <c r="H225" s="9"/>
      <c r="I225" s="9"/>
      <c r="J225" s="9"/>
      <c r="K225" s="9"/>
      <c r="L225" s="9" t="e">
        <f>IF(OR(OIT!#REF!="",OIT!#REF!=""),"",OIT!#REF!-OIT!#REF!)</f>
        <v>#REF!</v>
      </c>
      <c r="M225" s="9" t="e">
        <f>IF(OR(OIT!#REF!="",OIT!#REF!=""),"",OIT!#REF!-OIT!#REF!)</f>
        <v>#REF!</v>
      </c>
      <c r="N225" s="9" t="e">
        <f>IF(OR(OIT!#REF!="",OIT!#REF!=""),"",OIT!#REF!-OIT!#REF!)</f>
        <v>#REF!</v>
      </c>
      <c r="O225" s="9">
        <f t="shared" si="12"/>
        <v>0</v>
      </c>
      <c r="P225" s="9" t="str">
        <f t="shared" si="13"/>
        <v/>
      </c>
      <c r="Q225" s="9" t="str">
        <f t="shared" si="14"/>
        <v/>
      </c>
      <c r="R225" s="9" t="str">
        <f t="shared" si="15"/>
        <v/>
      </c>
    </row>
    <row r="226" spans="1:18" ht="15.5">
      <c r="A226" s="7" t="s">
        <v>12</v>
      </c>
      <c r="B226" s="7" t="s">
        <v>13</v>
      </c>
      <c r="C226" s="8">
        <v>1998</v>
      </c>
      <c r="D226" s="9"/>
      <c r="E226" s="9"/>
      <c r="F226" s="9"/>
      <c r="G226" s="9"/>
      <c r="H226" s="9"/>
      <c r="I226" s="9"/>
      <c r="J226" s="9"/>
      <c r="K226" s="9"/>
      <c r="L226" s="9" t="e">
        <f>IF(OR(OIT!#REF!="",OIT!#REF!=""),"",OIT!#REF!-OIT!#REF!)</f>
        <v>#REF!</v>
      </c>
      <c r="M226" s="9" t="e">
        <f>IF(OR(OIT!#REF!="",OIT!#REF!=""),"",OIT!#REF!-OIT!#REF!)</f>
        <v>#REF!</v>
      </c>
      <c r="N226" s="9" t="e">
        <f>IF(OR(OIT!#REF!="",OIT!#REF!=""),"",OIT!#REF!-OIT!#REF!)</f>
        <v>#REF!</v>
      </c>
      <c r="O226" s="9">
        <f t="shared" si="12"/>
        <v>0</v>
      </c>
      <c r="P226" s="9" t="str">
        <f t="shared" si="13"/>
        <v/>
      </c>
      <c r="Q226" s="9" t="str">
        <f t="shared" si="14"/>
        <v/>
      </c>
      <c r="R226" s="9" t="str">
        <f t="shared" si="15"/>
        <v/>
      </c>
    </row>
    <row r="227" spans="1:18" ht="15.5">
      <c r="A227" s="7" t="s">
        <v>12</v>
      </c>
      <c r="B227" s="7" t="s">
        <v>13</v>
      </c>
      <c r="C227" s="8">
        <v>1999</v>
      </c>
      <c r="D227" s="9"/>
      <c r="E227" s="9"/>
      <c r="F227" s="9"/>
      <c r="G227" s="9"/>
      <c r="H227" s="9"/>
      <c r="I227" s="9"/>
      <c r="J227" s="9"/>
      <c r="K227" s="9"/>
      <c r="L227" s="9" t="e">
        <f>IF(OR(OIT!#REF!="",OIT!#REF!=""),"",OIT!#REF!-OIT!#REF!)</f>
        <v>#REF!</v>
      </c>
      <c r="M227" s="9" t="e">
        <f>IF(OR(OIT!#REF!="",OIT!#REF!=""),"",OIT!#REF!-OIT!#REF!)</f>
        <v>#REF!</v>
      </c>
      <c r="N227" s="9" t="e">
        <f>IF(OR(OIT!#REF!="",OIT!#REF!=""),"",OIT!#REF!-OIT!#REF!)</f>
        <v>#REF!</v>
      </c>
      <c r="O227" s="9">
        <f t="shared" si="12"/>
        <v>0</v>
      </c>
      <c r="P227" s="9" t="str">
        <f t="shared" si="13"/>
        <v/>
      </c>
      <c r="Q227" s="9" t="str">
        <f t="shared" si="14"/>
        <v/>
      </c>
      <c r="R227" s="9" t="str">
        <f t="shared" si="15"/>
        <v/>
      </c>
    </row>
    <row r="228" spans="1:18" ht="15.5">
      <c r="A228" s="7" t="s">
        <v>12</v>
      </c>
      <c r="B228" s="7" t="s">
        <v>13</v>
      </c>
      <c r="C228" s="8">
        <v>2000</v>
      </c>
      <c r="D228" s="9"/>
      <c r="E228" s="9"/>
      <c r="F228" s="9"/>
      <c r="G228" s="9"/>
      <c r="H228" s="9"/>
      <c r="I228" s="9"/>
      <c r="J228" s="9"/>
      <c r="K228" s="9"/>
      <c r="L228" s="9" t="e">
        <f>IF(OR(OIT!#REF!="",OIT!#REF!=""),"",OIT!#REF!-OIT!#REF!)</f>
        <v>#REF!</v>
      </c>
      <c r="M228" s="9" t="e">
        <f>IF(OR(OIT!#REF!="",OIT!#REF!=""),"",OIT!#REF!-OIT!#REF!)</f>
        <v>#REF!</v>
      </c>
      <c r="N228" s="9" t="e">
        <f>IF(OR(OIT!#REF!="",OIT!#REF!=""),"",OIT!#REF!-OIT!#REF!)</f>
        <v>#REF!</v>
      </c>
      <c r="O228" s="9">
        <f t="shared" si="12"/>
        <v>0</v>
      </c>
      <c r="P228" s="9" t="str">
        <f t="shared" si="13"/>
        <v/>
      </c>
      <c r="Q228" s="9" t="str">
        <f t="shared" si="14"/>
        <v/>
      </c>
      <c r="R228" s="9" t="str">
        <f t="shared" si="15"/>
        <v/>
      </c>
    </row>
    <row r="229" spans="1:18" ht="15.5">
      <c r="A229" s="7" t="s">
        <v>12</v>
      </c>
      <c r="B229" s="7" t="s">
        <v>13</v>
      </c>
      <c r="C229" s="8">
        <v>2001</v>
      </c>
      <c r="D229" s="9"/>
      <c r="E229" s="9"/>
      <c r="F229" s="9"/>
      <c r="G229" s="9"/>
      <c r="H229" s="9"/>
      <c r="I229" s="9"/>
      <c r="J229" s="9"/>
      <c r="K229" s="9"/>
      <c r="L229" s="9" t="e">
        <f>IF(OR(OIT!#REF!="",OIT!#REF!=""),"",OIT!#REF!-OIT!#REF!)</f>
        <v>#REF!</v>
      </c>
      <c r="M229" s="9" t="e">
        <f>IF(OR(OIT!#REF!="",OIT!#REF!=""),"",OIT!#REF!-OIT!#REF!)</f>
        <v>#REF!</v>
      </c>
      <c r="N229" s="9" t="e">
        <f>IF(OR(OIT!#REF!="",OIT!#REF!=""),"",OIT!#REF!-OIT!#REF!)</f>
        <v>#REF!</v>
      </c>
      <c r="O229" s="9">
        <f t="shared" si="12"/>
        <v>0</v>
      </c>
      <c r="P229" s="9" t="str">
        <f t="shared" si="13"/>
        <v/>
      </c>
      <c r="Q229" s="9" t="str">
        <f t="shared" si="14"/>
        <v/>
      </c>
      <c r="R229" s="9" t="str">
        <f t="shared" si="15"/>
        <v/>
      </c>
    </row>
    <row r="230" spans="1:18" ht="15.5">
      <c r="A230" s="7" t="s">
        <v>12</v>
      </c>
      <c r="B230" s="7" t="s">
        <v>13</v>
      </c>
      <c r="C230" s="8">
        <v>2002</v>
      </c>
      <c r="D230" s="9"/>
      <c r="E230" s="9"/>
      <c r="F230" s="9"/>
      <c r="G230" s="9"/>
      <c r="H230" s="9"/>
      <c r="I230" s="9"/>
      <c r="J230" s="9"/>
      <c r="K230" s="9"/>
      <c r="L230" s="9" t="e">
        <f>IF(OR(OIT!#REF!="",OIT!#REF!=""),"",OIT!#REF!-OIT!#REF!)</f>
        <v>#REF!</v>
      </c>
      <c r="M230" s="9" t="e">
        <f>IF(OR(OIT!#REF!="",OIT!#REF!=""),"",OIT!#REF!-OIT!#REF!)</f>
        <v>#REF!</v>
      </c>
      <c r="N230" s="9" t="e">
        <f>IF(OR(OIT!#REF!="",OIT!#REF!=""),"",OIT!#REF!-OIT!#REF!)</f>
        <v>#REF!</v>
      </c>
      <c r="O230" s="9">
        <f t="shared" si="12"/>
        <v>0</v>
      </c>
      <c r="P230" s="9" t="str">
        <f t="shared" si="13"/>
        <v/>
      </c>
      <c r="Q230" s="9" t="str">
        <f t="shared" si="14"/>
        <v/>
      </c>
      <c r="R230" s="9" t="str">
        <f t="shared" si="15"/>
        <v/>
      </c>
    </row>
    <row r="231" spans="1:18" ht="15.5">
      <c r="A231" s="7" t="s">
        <v>12</v>
      </c>
      <c r="B231" s="7" t="s">
        <v>13</v>
      </c>
      <c r="C231" s="8">
        <v>2003</v>
      </c>
      <c r="D231" s="9"/>
      <c r="E231" s="9"/>
      <c r="F231" s="9"/>
      <c r="G231" s="9"/>
      <c r="H231" s="9"/>
      <c r="I231" s="9"/>
      <c r="J231" s="9"/>
      <c r="K231" s="9"/>
      <c r="L231" s="9" t="e">
        <f>IF(OR(OIT!#REF!="",OIT!#REF!=""),"",OIT!#REF!-OIT!#REF!)</f>
        <v>#REF!</v>
      </c>
      <c r="M231" s="9" t="e">
        <f>IF(OR(OIT!#REF!="",OIT!#REF!=""),"",OIT!#REF!-OIT!#REF!)</f>
        <v>#REF!</v>
      </c>
      <c r="N231" s="9" t="e">
        <f>IF(OR(OIT!#REF!="",OIT!#REF!=""),"",OIT!#REF!-OIT!#REF!)</f>
        <v>#REF!</v>
      </c>
      <c r="O231" s="9">
        <f t="shared" si="12"/>
        <v>0</v>
      </c>
      <c r="P231" s="9" t="str">
        <f t="shared" si="13"/>
        <v/>
      </c>
      <c r="Q231" s="9" t="str">
        <f t="shared" si="14"/>
        <v/>
      </c>
      <c r="R231" s="9" t="str">
        <f t="shared" si="15"/>
        <v/>
      </c>
    </row>
    <row r="232" spans="1:18" ht="15.5">
      <c r="A232" s="7" t="s">
        <v>12</v>
      </c>
      <c r="B232" s="7" t="s">
        <v>13</v>
      </c>
      <c r="C232" s="8">
        <v>2004</v>
      </c>
      <c r="D232" s="9"/>
      <c r="E232" s="9"/>
      <c r="F232" s="9"/>
      <c r="G232" s="9"/>
      <c r="H232" s="9"/>
      <c r="I232" s="9"/>
      <c r="J232" s="9"/>
      <c r="K232" s="9"/>
      <c r="L232" s="9" t="e">
        <f>IF(OR(OIT!#REF!="",OIT!#REF!=""),"",OIT!#REF!-OIT!#REF!)</f>
        <v>#REF!</v>
      </c>
      <c r="M232" s="9" t="e">
        <f>IF(OR(OIT!#REF!="",OIT!#REF!=""),"",OIT!#REF!-OIT!#REF!)</f>
        <v>#REF!</v>
      </c>
      <c r="N232" s="9" t="e">
        <f>IF(OR(OIT!#REF!="",OIT!#REF!=""),"",OIT!#REF!-OIT!#REF!)</f>
        <v>#REF!</v>
      </c>
      <c r="O232" s="9">
        <f t="shared" si="12"/>
        <v>0</v>
      </c>
      <c r="P232" s="9" t="str">
        <f t="shared" si="13"/>
        <v/>
      </c>
      <c r="Q232" s="9" t="str">
        <f t="shared" si="14"/>
        <v/>
      </c>
      <c r="R232" s="9" t="str">
        <f t="shared" si="15"/>
        <v/>
      </c>
    </row>
    <row r="233" spans="1:18" ht="15.5">
      <c r="A233" s="7" t="s">
        <v>12</v>
      </c>
      <c r="B233" s="7" t="s">
        <v>13</v>
      </c>
      <c r="C233" s="8">
        <v>2005</v>
      </c>
      <c r="D233" s="9"/>
      <c r="E233" s="9"/>
      <c r="F233" s="9"/>
      <c r="G233" s="9"/>
      <c r="H233" s="9"/>
      <c r="I233" s="9"/>
      <c r="J233" s="9"/>
      <c r="K233" s="9"/>
      <c r="L233" s="9" t="e">
        <f>IF(OR(OIT!#REF!="",OIT!#REF!=""),"",OIT!#REF!-OIT!#REF!)</f>
        <v>#REF!</v>
      </c>
      <c r="M233" s="9" t="e">
        <f>IF(OR(OIT!#REF!="",OIT!#REF!=""),"",OIT!#REF!-OIT!#REF!)</f>
        <v>#REF!</v>
      </c>
      <c r="N233" s="9" t="e">
        <f>IF(OR(OIT!#REF!="",OIT!#REF!=""),"",OIT!#REF!-OIT!#REF!)</f>
        <v>#REF!</v>
      </c>
      <c r="O233" s="9">
        <f t="shared" si="12"/>
        <v>0</v>
      </c>
      <c r="P233" s="9" t="str">
        <f t="shared" si="13"/>
        <v/>
      </c>
      <c r="Q233" s="9" t="str">
        <f t="shared" si="14"/>
        <v/>
      </c>
      <c r="R233" s="9" t="str">
        <f t="shared" si="15"/>
        <v/>
      </c>
    </row>
    <row r="234" spans="1:18" ht="15.5">
      <c r="A234" s="7" t="s">
        <v>12</v>
      </c>
      <c r="B234" s="7" t="s">
        <v>13</v>
      </c>
      <c r="C234" s="8">
        <v>2006</v>
      </c>
      <c r="D234" s="9"/>
      <c r="E234" s="9"/>
      <c r="F234" s="9"/>
      <c r="G234" s="9"/>
      <c r="H234" s="9"/>
      <c r="I234" s="9"/>
      <c r="J234" s="9"/>
      <c r="K234" s="9"/>
      <c r="L234" s="9" t="e">
        <f>IF(OR(OIT!#REF!="",OIT!#REF!=""),"",OIT!#REF!-OIT!#REF!)</f>
        <v>#REF!</v>
      </c>
      <c r="M234" s="9" t="e">
        <f>IF(OR(OIT!#REF!="",OIT!#REF!=""),"",OIT!#REF!-OIT!#REF!)</f>
        <v>#REF!</v>
      </c>
      <c r="N234" s="9" t="e">
        <f>IF(OR(OIT!#REF!="",OIT!#REF!=""),"",OIT!#REF!-OIT!#REF!)</f>
        <v>#REF!</v>
      </c>
      <c r="O234" s="9">
        <f t="shared" si="12"/>
        <v>0</v>
      </c>
      <c r="P234" s="9" t="str">
        <f t="shared" si="13"/>
        <v/>
      </c>
      <c r="Q234" s="9" t="str">
        <f t="shared" si="14"/>
        <v/>
      </c>
      <c r="R234" s="9" t="str">
        <f t="shared" si="15"/>
        <v/>
      </c>
    </row>
    <row r="235" spans="1:18" ht="15.5">
      <c r="A235" s="7" t="s">
        <v>12</v>
      </c>
      <c r="B235" s="7" t="s">
        <v>13</v>
      </c>
      <c r="C235" s="8">
        <v>2007</v>
      </c>
      <c r="D235" s="9"/>
      <c r="E235" s="9"/>
      <c r="F235" s="9"/>
      <c r="G235" s="9"/>
      <c r="H235" s="9"/>
      <c r="I235" s="9"/>
      <c r="J235" s="9"/>
      <c r="K235" s="9"/>
      <c r="L235" s="9" t="e">
        <f>IF(OR(OIT!#REF!="",OIT!#REF!=""),"",OIT!#REF!-OIT!#REF!)</f>
        <v>#REF!</v>
      </c>
      <c r="M235" s="9" t="e">
        <f>IF(OR(OIT!#REF!="",OIT!#REF!=""),"",OIT!#REF!-OIT!#REF!)</f>
        <v>#REF!</v>
      </c>
      <c r="N235" s="9" t="e">
        <f>IF(OR(OIT!#REF!="",OIT!#REF!=""),"",OIT!#REF!-OIT!#REF!)</f>
        <v>#REF!</v>
      </c>
      <c r="O235" s="9">
        <f t="shared" si="12"/>
        <v>0</v>
      </c>
      <c r="P235" s="9" t="str">
        <f t="shared" si="13"/>
        <v/>
      </c>
      <c r="Q235" s="9" t="str">
        <f t="shared" si="14"/>
        <v/>
      </c>
      <c r="R235" s="9" t="str">
        <f t="shared" si="15"/>
        <v/>
      </c>
    </row>
    <row r="236" spans="1:18" ht="15.5">
      <c r="A236" s="7" t="s">
        <v>12</v>
      </c>
      <c r="B236" s="7" t="s">
        <v>13</v>
      </c>
      <c r="C236" s="8">
        <v>2008</v>
      </c>
      <c r="D236" s="9"/>
      <c r="E236" s="9"/>
      <c r="F236" s="9"/>
      <c r="G236" s="9"/>
      <c r="H236" s="9"/>
      <c r="I236" s="9"/>
      <c r="J236" s="9"/>
      <c r="K236" s="9"/>
      <c r="L236" s="9" t="e">
        <f>IF(OR(OIT!#REF!="",OIT!#REF!=""),"",OIT!#REF!-OIT!#REF!)</f>
        <v>#REF!</v>
      </c>
      <c r="M236" s="9" t="e">
        <f>IF(OR(OIT!#REF!="",OIT!#REF!=""),"",OIT!#REF!-OIT!#REF!)</f>
        <v>#REF!</v>
      </c>
      <c r="N236" s="9" t="e">
        <f>IF(OR(OIT!#REF!="",OIT!#REF!=""),"",OIT!#REF!-OIT!#REF!)</f>
        <v>#REF!</v>
      </c>
      <c r="O236" s="9">
        <f t="shared" si="12"/>
        <v>0</v>
      </c>
      <c r="P236" s="9" t="str">
        <f t="shared" si="13"/>
        <v/>
      </c>
      <c r="Q236" s="9" t="str">
        <f t="shared" si="14"/>
        <v/>
      </c>
      <c r="R236" s="9" t="str">
        <f t="shared" si="15"/>
        <v/>
      </c>
    </row>
    <row r="237" spans="1:18" ht="15.5">
      <c r="A237" s="7" t="s">
        <v>12</v>
      </c>
      <c r="B237" s="7" t="s">
        <v>13</v>
      </c>
      <c r="C237" s="8">
        <v>2009</v>
      </c>
      <c r="D237" s="9"/>
      <c r="E237" s="9"/>
      <c r="F237" s="9"/>
      <c r="G237" s="9"/>
      <c r="H237" s="9"/>
      <c r="I237" s="9"/>
      <c r="J237" s="9"/>
      <c r="K237" s="9"/>
      <c r="L237" s="9" t="e">
        <f>IF(OR(OIT!#REF!="",OIT!#REF!=""),"",OIT!#REF!-OIT!#REF!)</f>
        <v>#REF!</v>
      </c>
      <c r="M237" s="9" t="e">
        <f>IF(OR(OIT!#REF!="",OIT!#REF!=""),"",OIT!#REF!-OIT!#REF!)</f>
        <v>#REF!</v>
      </c>
      <c r="N237" s="9" t="e">
        <f>IF(OR(OIT!#REF!="",OIT!#REF!=""),"",OIT!#REF!-OIT!#REF!)</f>
        <v>#REF!</v>
      </c>
      <c r="O237" s="9">
        <f t="shared" si="12"/>
        <v>0</v>
      </c>
      <c r="P237" s="9" t="str">
        <f t="shared" si="13"/>
        <v/>
      </c>
      <c r="Q237" s="9" t="str">
        <f t="shared" si="14"/>
        <v/>
      </c>
      <c r="R237" s="9" t="str">
        <f t="shared" si="15"/>
        <v/>
      </c>
    </row>
    <row r="238" spans="1:18" ht="15.5">
      <c r="A238" s="7" t="s">
        <v>12</v>
      </c>
      <c r="B238" s="7" t="s">
        <v>13</v>
      </c>
      <c r="C238" s="8">
        <v>2010</v>
      </c>
      <c r="D238" s="9"/>
      <c r="E238" s="9"/>
      <c r="F238" s="9"/>
      <c r="G238" s="9"/>
      <c r="H238" s="9"/>
      <c r="I238" s="9"/>
      <c r="J238" s="9"/>
      <c r="K238" s="9"/>
      <c r="L238" s="9" t="e">
        <f>IF(OR(OIT!#REF!="",OIT!#REF!=""),"",OIT!#REF!-OIT!#REF!)</f>
        <v>#REF!</v>
      </c>
      <c r="M238" s="9" t="e">
        <f>IF(OR(OIT!#REF!="",OIT!#REF!=""),"",OIT!#REF!-OIT!#REF!)</f>
        <v>#REF!</v>
      </c>
      <c r="N238" s="9" t="e">
        <f>IF(OR(OIT!#REF!="",OIT!#REF!=""),"",OIT!#REF!-OIT!#REF!)</f>
        <v>#REF!</v>
      </c>
      <c r="O238" s="9">
        <f t="shared" si="12"/>
        <v>0</v>
      </c>
      <c r="P238" s="9" t="str">
        <f t="shared" si="13"/>
        <v/>
      </c>
      <c r="Q238" s="9" t="str">
        <f t="shared" si="14"/>
        <v/>
      </c>
      <c r="R238" s="9" t="str">
        <f t="shared" si="15"/>
        <v/>
      </c>
    </row>
    <row r="239" spans="1:18" ht="15.5">
      <c r="A239" s="7" t="s">
        <v>12</v>
      </c>
      <c r="B239" s="7" t="s">
        <v>13</v>
      </c>
      <c r="C239" s="8">
        <v>2011</v>
      </c>
      <c r="D239" s="9"/>
      <c r="E239" s="9"/>
      <c r="F239" s="9"/>
      <c r="G239" s="9"/>
      <c r="H239" s="9"/>
      <c r="I239" s="9"/>
      <c r="J239" s="9"/>
      <c r="K239" s="9"/>
      <c r="L239" s="9" t="e">
        <f>IF(OR(OIT!#REF!="",OIT!#REF!=""),"",OIT!#REF!-OIT!#REF!)</f>
        <v>#REF!</v>
      </c>
      <c r="M239" s="9" t="e">
        <f>IF(OR(OIT!#REF!="",OIT!#REF!=""),"",OIT!#REF!-OIT!#REF!)</f>
        <v>#REF!</v>
      </c>
      <c r="N239" s="9" t="e">
        <f>IF(OR(OIT!#REF!="",OIT!#REF!=""),"",OIT!#REF!-OIT!#REF!)</f>
        <v>#REF!</v>
      </c>
      <c r="O239" s="9">
        <f t="shared" si="12"/>
        <v>0</v>
      </c>
      <c r="P239" s="9" t="str">
        <f t="shared" si="13"/>
        <v/>
      </c>
      <c r="Q239" s="9" t="str">
        <f t="shared" si="14"/>
        <v/>
      </c>
      <c r="R239" s="9" t="str">
        <f t="shared" si="15"/>
        <v/>
      </c>
    </row>
    <row r="240" spans="1:18" ht="15.5">
      <c r="A240" s="7" t="s">
        <v>12</v>
      </c>
      <c r="B240" s="7" t="s">
        <v>13</v>
      </c>
      <c r="C240" s="8">
        <v>2012</v>
      </c>
      <c r="D240" s="9"/>
      <c r="E240" s="9"/>
      <c r="F240" s="9"/>
      <c r="G240" s="9"/>
      <c r="H240" s="9"/>
      <c r="I240" s="9"/>
      <c r="J240" s="9"/>
      <c r="K240" s="9"/>
      <c r="L240" s="9" t="e">
        <f>IF(OR(OIT!#REF!="",OIT!#REF!=""),"",OIT!#REF!-OIT!#REF!)</f>
        <v>#REF!</v>
      </c>
      <c r="M240" s="9" t="e">
        <f>IF(OR(OIT!#REF!="",OIT!#REF!=""),"",OIT!#REF!-OIT!#REF!)</f>
        <v>#REF!</v>
      </c>
      <c r="N240" s="9" t="e">
        <f>IF(OR(OIT!#REF!="",OIT!#REF!=""),"",OIT!#REF!-OIT!#REF!)</f>
        <v>#REF!</v>
      </c>
      <c r="O240" s="9">
        <f t="shared" si="12"/>
        <v>0</v>
      </c>
      <c r="P240" s="9" t="str">
        <f t="shared" si="13"/>
        <v/>
      </c>
      <c r="Q240" s="9" t="str">
        <f t="shared" si="14"/>
        <v/>
      </c>
      <c r="R240" s="9" t="str">
        <f t="shared" si="15"/>
        <v/>
      </c>
    </row>
    <row r="241" spans="1:18" ht="15.5">
      <c r="A241" s="7" t="s">
        <v>12</v>
      </c>
      <c r="B241" s="7" t="s">
        <v>13</v>
      </c>
      <c r="C241" s="8">
        <v>2013</v>
      </c>
      <c r="D241" s="9"/>
      <c r="E241" s="9"/>
      <c r="F241" s="9"/>
      <c r="G241" s="9"/>
      <c r="H241" s="9"/>
      <c r="I241" s="9"/>
      <c r="J241" s="9"/>
      <c r="K241" s="9"/>
      <c r="L241" s="9" t="e">
        <f>IF(OR(OIT!#REF!="",OIT!#REF!=""),"",OIT!#REF!-OIT!#REF!)</f>
        <v>#REF!</v>
      </c>
      <c r="M241" s="9" t="e">
        <f>IF(OR(OIT!#REF!="",OIT!#REF!=""),"",OIT!#REF!-OIT!#REF!)</f>
        <v>#REF!</v>
      </c>
      <c r="N241" s="9" t="e">
        <f>IF(OR(OIT!#REF!="",OIT!#REF!=""),"",OIT!#REF!-OIT!#REF!)</f>
        <v>#REF!</v>
      </c>
      <c r="O241" s="9">
        <f t="shared" si="12"/>
        <v>0</v>
      </c>
      <c r="P241" s="9" t="str">
        <f t="shared" si="13"/>
        <v/>
      </c>
      <c r="Q241" s="9" t="str">
        <f t="shared" si="14"/>
        <v/>
      </c>
      <c r="R241" s="9" t="str">
        <f t="shared" si="15"/>
        <v/>
      </c>
    </row>
    <row r="242" spans="1:18" ht="15.5">
      <c r="A242" s="7" t="s">
        <v>12</v>
      </c>
      <c r="B242" s="7" t="s">
        <v>13</v>
      </c>
      <c r="C242" s="8">
        <v>2014</v>
      </c>
      <c r="D242" s="9"/>
      <c r="E242" s="9"/>
      <c r="F242" s="9"/>
      <c r="G242" s="9"/>
      <c r="H242" s="9"/>
      <c r="I242" s="9"/>
      <c r="J242" s="9"/>
      <c r="K242" s="9"/>
      <c r="L242" s="9" t="e">
        <f>IF(OR(OIT!#REF!="",OIT!#REF!=""),"",OIT!#REF!-OIT!#REF!)</f>
        <v>#REF!</v>
      </c>
      <c r="M242" s="9" t="e">
        <f>IF(OR(OIT!#REF!="",OIT!#REF!=""),"",OIT!#REF!-OIT!#REF!)</f>
        <v>#REF!</v>
      </c>
      <c r="N242" s="9" t="e">
        <f>IF(OR(OIT!#REF!="",OIT!#REF!=""),"",OIT!#REF!-OIT!#REF!)</f>
        <v>#REF!</v>
      </c>
      <c r="O242" s="9">
        <f t="shared" si="12"/>
        <v>0</v>
      </c>
      <c r="P242" s="9" t="str">
        <f t="shared" si="13"/>
        <v/>
      </c>
      <c r="Q242" s="9" t="str">
        <f t="shared" si="14"/>
        <v/>
      </c>
      <c r="R242" s="9" t="str">
        <f t="shared" si="15"/>
        <v/>
      </c>
    </row>
    <row r="243" spans="1:18" ht="15.5">
      <c r="A243" s="7" t="s">
        <v>12</v>
      </c>
      <c r="B243" s="7" t="s">
        <v>13</v>
      </c>
      <c r="C243" s="8">
        <v>2015</v>
      </c>
      <c r="D243" s="9"/>
      <c r="E243" s="9"/>
      <c r="F243" s="9"/>
      <c r="G243" s="9"/>
      <c r="H243" s="9"/>
      <c r="I243" s="9"/>
      <c r="J243" s="9"/>
      <c r="K243" s="9"/>
      <c r="L243" s="9" t="e">
        <f>IF(OR(OIT!#REF!="",OIT!#REF!=""),"",OIT!#REF!-OIT!#REF!)</f>
        <v>#REF!</v>
      </c>
      <c r="M243" s="9" t="e">
        <f>IF(OR(OIT!#REF!="",OIT!#REF!=""),"",OIT!#REF!-OIT!#REF!)</f>
        <v>#REF!</v>
      </c>
      <c r="N243" s="9" t="e">
        <f>IF(OR(OIT!#REF!="",OIT!#REF!=""),"",OIT!#REF!-OIT!#REF!)</f>
        <v>#REF!</v>
      </c>
      <c r="O243" s="9">
        <f t="shared" si="12"/>
        <v>0</v>
      </c>
      <c r="P243" s="9" t="str">
        <f t="shared" si="13"/>
        <v/>
      </c>
      <c r="Q243" s="9" t="str">
        <f t="shared" si="14"/>
        <v/>
      </c>
      <c r="R243" s="9" t="str">
        <f t="shared" si="15"/>
        <v/>
      </c>
    </row>
    <row r="244" spans="1:18" ht="15.5">
      <c r="A244" s="7" t="s">
        <v>12</v>
      </c>
      <c r="B244" s="7" t="s">
        <v>13</v>
      </c>
      <c r="C244" s="8">
        <v>2016</v>
      </c>
      <c r="D244" s="9"/>
      <c r="E244" s="9"/>
      <c r="F244" s="9"/>
      <c r="G244" s="9"/>
      <c r="H244" s="9"/>
      <c r="I244" s="9"/>
      <c r="J244" s="9"/>
      <c r="K244" s="9"/>
      <c r="L244" s="9" t="e">
        <f>IF(OR(OIT!#REF!="",OIT!#REF!=""),"",OIT!#REF!-OIT!#REF!)</f>
        <v>#REF!</v>
      </c>
      <c r="M244" s="9" t="e">
        <f>IF(OR(OIT!#REF!="",OIT!#REF!=""),"",OIT!#REF!-OIT!#REF!)</f>
        <v>#REF!</v>
      </c>
      <c r="N244" s="9" t="e">
        <f>IF(OR(OIT!#REF!="",OIT!#REF!=""),"",OIT!#REF!-OIT!#REF!)</f>
        <v>#REF!</v>
      </c>
      <c r="O244" s="9">
        <f t="shared" si="12"/>
        <v>0</v>
      </c>
      <c r="P244" s="9" t="str">
        <f t="shared" si="13"/>
        <v/>
      </c>
      <c r="Q244" s="9" t="str">
        <f t="shared" si="14"/>
        <v/>
      </c>
      <c r="R244" s="9" t="str">
        <f t="shared" si="15"/>
        <v/>
      </c>
    </row>
    <row r="245" spans="1:18" ht="15.5">
      <c r="A245" s="7" t="s">
        <v>12</v>
      </c>
      <c r="B245" s="7" t="s">
        <v>13</v>
      </c>
      <c r="C245" s="8">
        <v>2017</v>
      </c>
      <c r="D245" s="9"/>
      <c r="E245" s="9"/>
      <c r="F245" s="9"/>
      <c r="G245" s="9"/>
      <c r="H245" s="9"/>
      <c r="I245" s="9"/>
      <c r="J245" s="9"/>
      <c r="K245" s="9"/>
      <c r="L245" s="9" t="e">
        <f>IF(OR(OIT!#REF!="",OIT!#REF!=""),"",OIT!#REF!-OIT!#REF!)</f>
        <v>#REF!</v>
      </c>
      <c r="M245" s="9" t="e">
        <f>IF(OR(OIT!#REF!="",OIT!#REF!=""),"",OIT!#REF!-OIT!#REF!)</f>
        <v>#REF!</v>
      </c>
      <c r="N245" s="9" t="e">
        <f>IF(OR(OIT!#REF!="",OIT!#REF!=""),"",OIT!#REF!-OIT!#REF!)</f>
        <v>#REF!</v>
      </c>
      <c r="O245" s="9">
        <f t="shared" si="12"/>
        <v>0</v>
      </c>
      <c r="P245" s="9" t="str">
        <f t="shared" si="13"/>
        <v/>
      </c>
      <c r="Q245" s="9" t="str">
        <f t="shared" si="14"/>
        <v/>
      </c>
      <c r="R245" s="9" t="str">
        <f t="shared" si="15"/>
        <v/>
      </c>
    </row>
    <row r="246" spans="1:18" ht="15.5">
      <c r="A246" s="7" t="s">
        <v>12</v>
      </c>
      <c r="B246" s="7" t="s">
        <v>13</v>
      </c>
      <c r="C246" s="8">
        <v>2018</v>
      </c>
      <c r="D246" s="9"/>
      <c r="E246" s="9"/>
      <c r="F246" s="9"/>
      <c r="G246" s="9"/>
      <c r="H246" s="9"/>
      <c r="I246" s="9"/>
      <c r="J246" s="9"/>
      <c r="K246" s="9"/>
      <c r="L246" s="9" t="e">
        <f>IF(OR(OIT!#REF!="",OIT!#REF!=""),"",OIT!#REF!-OIT!#REF!)</f>
        <v>#REF!</v>
      </c>
      <c r="M246" s="9" t="e">
        <f>IF(OR(OIT!#REF!="",OIT!#REF!=""),"",OIT!#REF!-OIT!#REF!)</f>
        <v>#REF!</v>
      </c>
      <c r="N246" s="9" t="e">
        <f>IF(OR(OIT!#REF!="",OIT!#REF!=""),"",OIT!#REF!-OIT!#REF!)</f>
        <v>#REF!</v>
      </c>
      <c r="O246" s="9">
        <f t="shared" si="12"/>
        <v>0</v>
      </c>
      <c r="P246" s="9" t="str">
        <f t="shared" si="13"/>
        <v/>
      </c>
      <c r="Q246" s="9" t="str">
        <f t="shared" si="14"/>
        <v/>
      </c>
      <c r="R246" s="9" t="str">
        <f t="shared" si="15"/>
        <v/>
      </c>
    </row>
    <row r="247" spans="1:18" ht="15.5">
      <c r="A247" s="7" t="s">
        <v>12</v>
      </c>
      <c r="B247" s="7" t="s">
        <v>13</v>
      </c>
      <c r="C247" s="8">
        <v>2019</v>
      </c>
      <c r="D247" s="9"/>
      <c r="E247" s="9"/>
      <c r="F247" s="9"/>
      <c r="G247" s="9"/>
      <c r="H247" s="9"/>
      <c r="I247" s="9"/>
      <c r="J247" s="9"/>
      <c r="K247" s="9"/>
      <c r="L247" s="9" t="e">
        <f>IF(OR(OIT!#REF!="",OIT!#REF!=""),"",OIT!#REF!-OIT!#REF!)</f>
        <v>#REF!</v>
      </c>
      <c r="M247" s="9" t="e">
        <f>IF(OR(OIT!#REF!="",OIT!#REF!=""),"",OIT!#REF!-OIT!#REF!)</f>
        <v>#REF!</v>
      </c>
      <c r="N247" s="9" t="e">
        <f>IF(OR(OIT!#REF!="",OIT!#REF!=""),"",OIT!#REF!-OIT!#REF!)</f>
        <v>#REF!</v>
      </c>
      <c r="O247" s="9">
        <f t="shared" si="12"/>
        <v>0</v>
      </c>
      <c r="P247" s="9" t="str">
        <f t="shared" si="13"/>
        <v/>
      </c>
      <c r="Q247" s="9" t="str">
        <f t="shared" si="14"/>
        <v/>
      </c>
      <c r="R247" s="9" t="str">
        <f t="shared" si="15"/>
        <v/>
      </c>
    </row>
    <row r="248" spans="1:18" ht="15.5">
      <c r="A248" s="7" t="s">
        <v>12</v>
      </c>
      <c r="B248" s="7" t="s">
        <v>13</v>
      </c>
      <c r="C248" s="8">
        <v>2020</v>
      </c>
      <c r="D248" s="9"/>
      <c r="E248" s="9"/>
      <c r="F248" s="9"/>
      <c r="G248" s="9"/>
      <c r="H248" s="9"/>
      <c r="I248" s="9"/>
      <c r="J248" s="9"/>
      <c r="K248" s="9"/>
      <c r="L248" s="9" t="e">
        <f>IF(OR(OIT!#REF!="",OIT!#REF!=""),"",OIT!#REF!-OIT!#REF!)</f>
        <v>#REF!</v>
      </c>
      <c r="M248" s="9" t="e">
        <f>IF(OR(OIT!#REF!="",OIT!#REF!=""),"",OIT!#REF!-OIT!#REF!)</f>
        <v>#REF!</v>
      </c>
      <c r="N248" s="9" t="e">
        <f>IF(OR(OIT!#REF!="",OIT!#REF!=""),"",OIT!#REF!-OIT!#REF!)</f>
        <v>#REF!</v>
      </c>
      <c r="O248" s="9">
        <f t="shared" si="12"/>
        <v>0</v>
      </c>
      <c r="P248" s="9" t="str">
        <f t="shared" si="13"/>
        <v/>
      </c>
      <c r="Q248" s="9" t="str">
        <f t="shared" si="14"/>
        <v/>
      </c>
      <c r="R248" s="9" t="str">
        <f t="shared" si="15"/>
        <v/>
      </c>
    </row>
    <row r="249" spans="1:18" ht="15.5">
      <c r="A249" s="7" t="s">
        <v>12</v>
      </c>
      <c r="B249" s="7" t="s">
        <v>13</v>
      </c>
      <c r="C249" s="8">
        <v>2021</v>
      </c>
      <c r="D249" s="9"/>
      <c r="E249" s="9"/>
      <c r="F249" s="9"/>
      <c r="G249" s="9"/>
      <c r="H249" s="9"/>
      <c r="I249" s="9"/>
      <c r="J249" s="9"/>
      <c r="K249" s="9"/>
      <c r="L249" s="9" t="e">
        <f>IF(OR(OIT!#REF!="",OIT!#REF!=""),"",OIT!#REF!-OIT!#REF!)</f>
        <v>#REF!</v>
      </c>
      <c r="M249" s="9" t="e">
        <f>IF(OR(OIT!#REF!="",OIT!#REF!=""),"",OIT!#REF!-OIT!#REF!)</f>
        <v>#REF!</v>
      </c>
      <c r="N249" s="9" t="e">
        <f>IF(OR(OIT!#REF!="",OIT!#REF!=""),"",OIT!#REF!-OIT!#REF!)</f>
        <v>#REF!</v>
      </c>
      <c r="O249" s="9">
        <f t="shared" si="12"/>
        <v>0</v>
      </c>
      <c r="P249" s="9" t="str">
        <f t="shared" si="13"/>
        <v/>
      </c>
      <c r="Q249" s="9" t="str">
        <f t="shared" si="14"/>
        <v/>
      </c>
      <c r="R249" s="9" t="str">
        <f t="shared" si="15"/>
        <v/>
      </c>
    </row>
    <row r="250" spans="1:18" ht="15.5">
      <c r="A250" s="7" t="s">
        <v>12</v>
      </c>
      <c r="B250" s="7" t="s">
        <v>13</v>
      </c>
      <c r="C250" s="8">
        <v>2022</v>
      </c>
      <c r="D250" s="9"/>
      <c r="E250" s="9"/>
      <c r="F250" s="9"/>
      <c r="G250" s="9"/>
      <c r="H250" s="9"/>
      <c r="I250" s="9"/>
      <c r="J250" s="9"/>
      <c r="K250" s="9"/>
      <c r="L250" s="9" t="e">
        <f>IF(OR(OIT!#REF!="",OIT!#REF!=""),"",OIT!#REF!-OIT!#REF!)</f>
        <v>#REF!</v>
      </c>
      <c r="M250" s="9" t="e">
        <f>IF(OR(OIT!#REF!="",OIT!#REF!=""),"",OIT!#REF!-OIT!#REF!)</f>
        <v>#REF!</v>
      </c>
      <c r="N250" s="9" t="e">
        <f>IF(OR(OIT!#REF!="",OIT!#REF!=""),"",OIT!#REF!-OIT!#REF!)</f>
        <v>#REF!</v>
      </c>
      <c r="O250" s="9">
        <f t="shared" si="12"/>
        <v>0</v>
      </c>
      <c r="P250" s="9" t="str">
        <f t="shared" si="13"/>
        <v/>
      </c>
      <c r="Q250" s="9" t="str">
        <f t="shared" si="14"/>
        <v/>
      </c>
      <c r="R250" s="9" t="str">
        <f t="shared" si="15"/>
        <v/>
      </c>
    </row>
    <row r="251" spans="1:18" ht="15.5">
      <c r="A251" s="7" t="s">
        <v>12</v>
      </c>
      <c r="B251" s="7" t="s">
        <v>13</v>
      </c>
      <c r="C251" s="8">
        <v>2023</v>
      </c>
      <c r="D251" s="9"/>
      <c r="E251" s="9"/>
      <c r="F251" s="9"/>
      <c r="G251" s="9"/>
      <c r="H251" s="9"/>
      <c r="I251" s="9"/>
      <c r="J251" s="9"/>
      <c r="K251" s="9"/>
      <c r="L251" s="9" t="e">
        <f>IF(OR(OIT!#REF!="",OIT!#REF!=""),"",OIT!#REF!-OIT!#REF!)</f>
        <v>#REF!</v>
      </c>
      <c r="M251" s="9" t="e">
        <f>IF(OR(OIT!#REF!="",OIT!#REF!=""),"",OIT!#REF!-OIT!#REF!)</f>
        <v>#REF!</v>
      </c>
      <c r="N251" s="9" t="e">
        <f>IF(OR(OIT!#REF!="",OIT!#REF!=""),"",OIT!#REF!-OIT!#REF!)</f>
        <v>#REF!</v>
      </c>
      <c r="O251" s="9">
        <f t="shared" si="12"/>
        <v>0</v>
      </c>
      <c r="P251" s="9" t="str">
        <f t="shared" si="13"/>
        <v/>
      </c>
      <c r="Q251" s="9" t="str">
        <f t="shared" si="14"/>
        <v/>
      </c>
      <c r="R251" s="9" t="str">
        <f t="shared" si="15"/>
        <v/>
      </c>
    </row>
    <row r="252" spans="1:18" ht="15.5">
      <c r="A252" s="7" t="s">
        <v>12</v>
      </c>
      <c r="B252" s="7" t="s">
        <v>13</v>
      </c>
      <c r="C252" s="8">
        <v>2024</v>
      </c>
      <c r="D252" s="9"/>
      <c r="E252" s="9"/>
      <c r="F252" s="9"/>
      <c r="G252" s="9"/>
      <c r="H252" s="9"/>
      <c r="I252" s="9"/>
      <c r="J252" s="9"/>
      <c r="K252" s="9"/>
      <c r="L252" s="9" t="e">
        <f>IF(OR(OIT!#REF!="",OIT!#REF!=""),"",OIT!#REF!-OIT!#REF!)</f>
        <v>#REF!</v>
      </c>
      <c r="M252" s="9" t="e">
        <f>IF(OR(OIT!#REF!="",OIT!#REF!=""),"",OIT!#REF!-OIT!#REF!)</f>
        <v>#REF!</v>
      </c>
      <c r="N252" s="9" t="e">
        <f>IF(OR(OIT!#REF!="",OIT!#REF!=""),"",OIT!#REF!-OIT!#REF!)</f>
        <v>#REF!</v>
      </c>
      <c r="O252" s="9">
        <f t="shared" si="12"/>
        <v>0</v>
      </c>
      <c r="P252" s="9" t="str">
        <f t="shared" si="13"/>
        <v/>
      </c>
      <c r="Q252" s="9" t="str">
        <f t="shared" si="14"/>
        <v/>
      </c>
      <c r="R252" s="9" t="str">
        <f t="shared" si="15"/>
        <v/>
      </c>
    </row>
    <row r="253" spans="1:18" ht="15.5">
      <c r="A253" s="7" t="s">
        <v>12</v>
      </c>
      <c r="B253" s="7" t="s">
        <v>13</v>
      </c>
      <c r="C253" s="8">
        <v>2025</v>
      </c>
      <c r="D253" s="9"/>
      <c r="E253" s="9"/>
      <c r="F253" s="9"/>
      <c r="G253" s="9"/>
      <c r="H253" s="9"/>
      <c r="I253" s="9"/>
      <c r="J253" s="9"/>
      <c r="K253" s="9"/>
      <c r="L253" s="9" t="e">
        <f>IF(OR(OIT!#REF!="",OIT!#REF!=""),"",OIT!#REF!-OIT!#REF!)</f>
        <v>#REF!</v>
      </c>
      <c r="M253" s="9" t="e">
        <f>IF(OR(OIT!#REF!="",OIT!#REF!=""),"",OIT!#REF!-OIT!#REF!)</f>
        <v>#REF!</v>
      </c>
      <c r="N253" s="9" t="e">
        <f>IF(OR(OIT!#REF!="",OIT!#REF!=""),"",OIT!#REF!-OIT!#REF!)</f>
        <v>#REF!</v>
      </c>
      <c r="O253" s="9">
        <f t="shared" si="12"/>
        <v>0</v>
      </c>
      <c r="P253" s="9" t="str">
        <f t="shared" si="13"/>
        <v/>
      </c>
      <c r="Q253" s="9" t="str">
        <f t="shared" si="14"/>
        <v/>
      </c>
      <c r="R253" s="9" t="str">
        <f t="shared" si="15"/>
        <v/>
      </c>
    </row>
    <row r="254" spans="1:18" ht="15.5">
      <c r="A254" s="7" t="s">
        <v>14</v>
      </c>
      <c r="B254" s="7" t="s">
        <v>15</v>
      </c>
      <c r="C254" s="8">
        <v>1990</v>
      </c>
      <c r="D254" s="9">
        <v>7.1511659999999999</v>
      </c>
      <c r="E254" s="9">
        <v>2.1111540794372599</v>
      </c>
      <c r="F254" s="9">
        <v>2171.6999999999998</v>
      </c>
      <c r="G254" s="9">
        <v>1.91739225387573</v>
      </c>
      <c r="H254" s="9">
        <v>50525.24609375</v>
      </c>
      <c r="I254" s="9">
        <v>242697.375</v>
      </c>
      <c r="J254" s="9">
        <v>0.86039811372757002</v>
      </c>
      <c r="K254" s="9">
        <v>0.61371356248855602</v>
      </c>
      <c r="L254" s="9" t="e">
        <f>IF(OR(OIT!#REF!="",OIT!#REF!=""),"",OIT!#REF!-OIT!#REF!)</f>
        <v>#REF!</v>
      </c>
      <c r="M254" s="9" t="e">
        <f>IF(OR(OIT!#REF!="",OIT!#REF!=""),"",OIT!#REF!-OIT!#REF!)</f>
        <v>#REF!</v>
      </c>
      <c r="N254" s="9" t="e">
        <f>IF(OR(OIT!#REF!="",OIT!#REF!=""),"",OIT!#REF!-OIT!#REF!)</f>
        <v>#REF!</v>
      </c>
      <c r="O254" s="9">
        <f t="shared" si="12"/>
        <v>4584.7933143138971</v>
      </c>
      <c r="P254" s="9">
        <f t="shared" si="13"/>
        <v>23932.524198905365</v>
      </c>
      <c r="Q254" s="9">
        <f t="shared" si="14"/>
        <v>11.020179674405012</v>
      </c>
      <c r="R254" s="9">
        <f t="shared" si="15"/>
        <v>114959.57465344849</v>
      </c>
    </row>
    <row r="255" spans="1:18" ht="15.5">
      <c r="A255" s="7" t="s">
        <v>14</v>
      </c>
      <c r="B255" s="7" t="s">
        <v>15</v>
      </c>
      <c r="C255" s="8">
        <v>1991</v>
      </c>
      <c r="D255" s="9">
        <v>7.2998529999999997</v>
      </c>
      <c r="E255" s="9">
        <v>2.2410743236541801</v>
      </c>
      <c r="F255" s="9">
        <v>2169.5</v>
      </c>
      <c r="G255" s="9">
        <v>1.9422297477722199</v>
      </c>
      <c r="H255" s="9">
        <v>50912.78125</v>
      </c>
      <c r="I255" s="9">
        <v>246952.921875</v>
      </c>
      <c r="J255" s="9">
        <v>0.81889569759368896</v>
      </c>
      <c r="K255" s="9">
        <v>0.61371356248855602</v>
      </c>
      <c r="L255" s="9" t="e">
        <f>IF(OR(OIT!#REF!="",OIT!#REF!=""),"",OIT!#REF!-OIT!#REF!)</f>
        <v>#REF!</v>
      </c>
      <c r="M255" s="9" t="e">
        <f>IF(OR(OIT!#REF!="",OIT!#REF!=""),"",OIT!#REF!-OIT!#REF!)</f>
        <v>#REF!</v>
      </c>
      <c r="N255" s="9" t="e">
        <f>IF(OR(OIT!#REF!="",OIT!#REF!=""),"",OIT!#REF!-OIT!#REF!)</f>
        <v>#REF!</v>
      </c>
      <c r="O255" s="9">
        <f t="shared" si="12"/>
        <v>4862.0107451677441</v>
      </c>
      <c r="P255" s="9">
        <f t="shared" si="13"/>
        <v>22718.024437040644</v>
      </c>
      <c r="Q255" s="9">
        <f t="shared" si="14"/>
        <v>10.471548484462154</v>
      </c>
      <c r="R255" s="9">
        <f t="shared" si="15"/>
        <v>110193.99011824442</v>
      </c>
    </row>
    <row r="256" spans="1:18" ht="15.5">
      <c r="A256" s="7" t="s">
        <v>14</v>
      </c>
      <c r="B256" s="7" t="s">
        <v>15</v>
      </c>
      <c r="C256" s="8">
        <v>1992</v>
      </c>
      <c r="D256" s="9">
        <v>7.4474739999999997</v>
      </c>
      <c r="E256" s="9">
        <v>2.4116270542144802</v>
      </c>
      <c r="F256" s="9">
        <v>2140.2600000000002</v>
      </c>
      <c r="G256" s="9">
        <v>1.9673887491226201</v>
      </c>
      <c r="H256" s="9">
        <v>56265.296875</v>
      </c>
      <c r="I256" s="9">
        <v>248855.234375</v>
      </c>
      <c r="J256" s="9">
        <v>0.85852849483490001</v>
      </c>
      <c r="K256" s="9">
        <v>0.61562705039978005</v>
      </c>
      <c r="L256" s="9" t="e">
        <f>IF(OR(OIT!#REF!="",OIT!#REF!=""),"",OIT!#REF!-OIT!#REF!)</f>
        <v>#REF!</v>
      </c>
      <c r="M256" s="9" t="e">
        <f>IF(OR(OIT!#REF!="",OIT!#REF!=""),"",OIT!#REF!-OIT!#REF!)</f>
        <v>#REF!</v>
      </c>
      <c r="N256" s="9" t="e">
        <f>IF(OR(OIT!#REF!="",OIT!#REF!=""),"",OIT!#REF!-OIT!#REF!)</f>
        <v>#REF!</v>
      </c>
      <c r="O256" s="9">
        <f t="shared" si="12"/>
        <v>5161.5089190530844</v>
      </c>
      <c r="P256" s="9">
        <f t="shared" si="13"/>
        <v>23330.844948298542</v>
      </c>
      <c r="Q256" s="9">
        <f t="shared" si="14"/>
        <v>10.900939581311867</v>
      </c>
      <c r="R256" s="9">
        <f t="shared" si="15"/>
        <v>103189.76723208871</v>
      </c>
    </row>
    <row r="257" spans="1:18" ht="15.5">
      <c r="A257" s="7" t="s">
        <v>14</v>
      </c>
      <c r="B257" s="7" t="s">
        <v>15</v>
      </c>
      <c r="C257" s="8">
        <v>1993</v>
      </c>
      <c r="D257" s="9">
        <v>7.5945720000000003</v>
      </c>
      <c r="E257" s="9">
        <v>2.4195258617401101</v>
      </c>
      <c r="F257" s="9">
        <v>2233.4899999999998</v>
      </c>
      <c r="G257" s="9">
        <v>1.9928739070892301</v>
      </c>
      <c r="H257" s="9">
        <v>60329.16796875</v>
      </c>
      <c r="I257" s="9">
        <v>254728.609375</v>
      </c>
      <c r="J257" s="9">
        <v>0.88075095415115401</v>
      </c>
      <c r="K257" s="9">
        <v>0.60283112525939897</v>
      </c>
      <c r="L257" s="9" t="e">
        <f>IF(OR(OIT!#REF!="",OIT!#REF!=""),"",OIT!#REF!-OIT!#REF!)</f>
        <v>#REF!</v>
      </c>
      <c r="M257" s="9" t="e">
        <f>IF(OR(OIT!#REF!="",OIT!#REF!=""),"",OIT!#REF!-OIT!#REF!)</f>
        <v>#REF!</v>
      </c>
      <c r="N257" s="9" t="e">
        <f>IF(OR(OIT!#REF!="",OIT!#REF!=""),"",OIT!#REF!-OIT!#REF!)</f>
        <v>#REF!</v>
      </c>
      <c r="O257" s="9">
        <f t="shared" si="12"/>
        <v>5403.9868169379179</v>
      </c>
      <c r="P257" s="9">
        <f t="shared" si="13"/>
        <v>24934.293500529722</v>
      </c>
      <c r="Q257" s="9">
        <f t="shared" si="14"/>
        <v>11.163825896032543</v>
      </c>
      <c r="R257" s="9">
        <f t="shared" si="15"/>
        <v>105280.38298867388</v>
      </c>
    </row>
    <row r="258" spans="1:18" ht="15.5">
      <c r="A258" s="7" t="s">
        <v>14</v>
      </c>
      <c r="B258" s="7" t="s">
        <v>15</v>
      </c>
      <c r="C258" s="8">
        <v>1994</v>
      </c>
      <c r="D258" s="9">
        <v>7.7416939999999999</v>
      </c>
      <c r="E258" s="9">
        <v>2.4543590545654301</v>
      </c>
      <c r="F258" s="9">
        <v>2215.6999999999998</v>
      </c>
      <c r="G258" s="9">
        <v>2.0186889171600302</v>
      </c>
      <c r="H258" s="9">
        <v>61718.6640625</v>
      </c>
      <c r="I258" s="9">
        <v>265213.375</v>
      </c>
      <c r="J258" s="9">
        <v>0.87802761793136597</v>
      </c>
      <c r="K258" s="9">
        <v>0.65694516897201505</v>
      </c>
      <c r="L258" s="9" t="e">
        <f>IF(OR(OIT!#REF!="",OIT!#REF!=""),"",OIT!#REF!-OIT!#REF!)</f>
        <v>#REF!</v>
      </c>
      <c r="M258" s="9" t="e">
        <f>IF(OR(OIT!#REF!="",OIT!#REF!=""),"",OIT!#REF!-OIT!#REF!)</f>
        <v>#REF!</v>
      </c>
      <c r="N258" s="9" t="e">
        <f>IF(OR(OIT!#REF!="",OIT!#REF!=""),"",OIT!#REF!-OIT!#REF!)</f>
        <v>#REF!</v>
      </c>
      <c r="O258" s="9">
        <f t="shared" ref="O258:O321" si="16">IFERROR(E258*F258,"")</f>
        <v>5438.1233572006231</v>
      </c>
      <c r="P258" s="9">
        <f t="shared" ref="P258:P321" si="17">IFERROR(H258/E258,"")</f>
        <v>25146.550561823944</v>
      </c>
      <c r="Q258" s="9">
        <f t="shared" ref="Q258:Q321" si="18">IFERROR(H258/(E258*F258),"")</f>
        <v>11.349257824535789</v>
      </c>
      <c r="R258" s="9">
        <f t="shared" ref="R258:R321" si="19">IFERROR(I258/E258,"")</f>
        <v>108058.09952976045</v>
      </c>
    </row>
    <row r="259" spans="1:18" ht="15.5">
      <c r="A259" s="7" t="s">
        <v>14</v>
      </c>
      <c r="B259" s="7" t="s">
        <v>15</v>
      </c>
      <c r="C259" s="8">
        <v>1995</v>
      </c>
      <c r="D259" s="9">
        <v>7.888115</v>
      </c>
      <c r="E259" s="9">
        <v>2.45899558067322</v>
      </c>
      <c r="F259" s="9">
        <v>2234.4499999999998</v>
      </c>
      <c r="G259" s="9">
        <v>2.04483842849731</v>
      </c>
      <c r="H259" s="9">
        <v>65109.34375</v>
      </c>
      <c r="I259" s="9">
        <v>276554.75</v>
      </c>
      <c r="J259" s="9">
        <v>0.90280288457870495</v>
      </c>
      <c r="K259" s="9">
        <v>0.63960915803909302</v>
      </c>
      <c r="L259" s="9" t="e">
        <f>IF(OR(OIT!#REF!="",OIT!#REF!=""),"",OIT!#REF!-OIT!#REF!)</f>
        <v>#REF!</v>
      </c>
      <c r="M259" s="9" t="e">
        <f>IF(OR(OIT!#REF!="",OIT!#REF!=""),"",OIT!#REF!-OIT!#REF!)</f>
        <v>#REF!</v>
      </c>
      <c r="N259" s="9" t="e">
        <f>IF(OR(OIT!#REF!="",OIT!#REF!=""),"",OIT!#REF!-OIT!#REF!)</f>
        <v>#REF!</v>
      </c>
      <c r="O259" s="9">
        <f t="shared" si="16"/>
        <v>5494.502675235276</v>
      </c>
      <c r="P259" s="9">
        <f t="shared" si="17"/>
        <v>26478.02389794229</v>
      </c>
      <c r="Q259" s="9">
        <f t="shared" si="18"/>
        <v>11.849906642772178</v>
      </c>
      <c r="R259" s="9">
        <f t="shared" si="19"/>
        <v>112466.5502344194</v>
      </c>
    </row>
    <row r="260" spans="1:18" ht="15.5">
      <c r="A260" s="7" t="s">
        <v>14</v>
      </c>
      <c r="B260" s="7" t="s">
        <v>15</v>
      </c>
      <c r="C260" s="8">
        <v>1996</v>
      </c>
      <c r="D260" s="9">
        <v>8.0328940000000006</v>
      </c>
      <c r="E260" s="9">
        <v>2.4909906387329102</v>
      </c>
      <c r="F260" s="9">
        <v>2206.33</v>
      </c>
      <c r="G260" s="9">
        <v>2.0671429634094198</v>
      </c>
      <c r="H260" s="9">
        <v>69752.484375</v>
      </c>
      <c r="I260" s="9">
        <v>291678.59375</v>
      </c>
      <c r="J260" s="9">
        <v>0.94618773460388195</v>
      </c>
      <c r="K260" s="9">
        <v>0.63091599941253695</v>
      </c>
      <c r="L260" s="9" t="e">
        <f>IF(OR(OIT!#REF!="",OIT!#REF!=""),"",OIT!#REF!-OIT!#REF!)</f>
        <v>#REF!</v>
      </c>
      <c r="M260" s="9" t="e">
        <f>IF(OR(OIT!#REF!="",OIT!#REF!=""),"",OIT!#REF!-OIT!#REF!)</f>
        <v>#REF!</v>
      </c>
      <c r="N260" s="9" t="e">
        <f>IF(OR(OIT!#REF!="",OIT!#REF!=""),"",OIT!#REF!-OIT!#REF!)</f>
        <v>#REF!</v>
      </c>
      <c r="O260" s="9">
        <f t="shared" si="16"/>
        <v>5495.9473759555813</v>
      </c>
      <c r="P260" s="9">
        <f t="shared" si="17"/>
        <v>28001.9054629932</v>
      </c>
      <c r="Q260" s="9">
        <f t="shared" si="18"/>
        <v>12.691621590148891</v>
      </c>
      <c r="R260" s="9">
        <f t="shared" si="19"/>
        <v>117093.41224115073</v>
      </c>
    </row>
    <row r="261" spans="1:18" ht="15.5">
      <c r="A261" s="7" t="s">
        <v>14</v>
      </c>
      <c r="B261" s="7" t="s">
        <v>15</v>
      </c>
      <c r="C261" s="8">
        <v>1997</v>
      </c>
      <c r="D261" s="9">
        <v>8.1740779999999997</v>
      </c>
      <c r="E261" s="9">
        <v>2.6216790676116899</v>
      </c>
      <c r="F261" s="9">
        <v>2223.5100000000002</v>
      </c>
      <c r="G261" s="9">
        <v>2.0896904468536399</v>
      </c>
      <c r="H261" s="9">
        <v>75335.6640625</v>
      </c>
      <c r="I261" s="9">
        <v>312406.90625</v>
      </c>
      <c r="J261" s="9">
        <v>0.95235705375671398</v>
      </c>
      <c r="K261" s="9">
        <v>0.61446136236190796</v>
      </c>
      <c r="L261" s="9" t="e">
        <f>IF(OR(OIT!#REF!="",OIT!#REF!=""),"",OIT!#REF!-OIT!#REF!)</f>
        <v>#REF!</v>
      </c>
      <c r="M261" s="9" t="e">
        <f>IF(OR(OIT!#REF!="",OIT!#REF!=""),"",OIT!#REF!-OIT!#REF!)</f>
        <v>#REF!</v>
      </c>
      <c r="N261" s="9" t="e">
        <f>IF(OR(OIT!#REF!="",OIT!#REF!=""),"",OIT!#REF!-OIT!#REF!)</f>
        <v>#REF!</v>
      </c>
      <c r="O261" s="9">
        <f t="shared" si="16"/>
        <v>5829.3296236252691</v>
      </c>
      <c r="P261" s="9">
        <f t="shared" si="17"/>
        <v>28735.654563214579</v>
      </c>
      <c r="Q261" s="9">
        <f t="shared" si="18"/>
        <v>12.923555353119427</v>
      </c>
      <c r="R261" s="9">
        <f t="shared" si="19"/>
        <v>119162.90979681125</v>
      </c>
    </row>
    <row r="262" spans="1:18" ht="15.5">
      <c r="A262" s="7" t="s">
        <v>14</v>
      </c>
      <c r="B262" s="7" t="s">
        <v>15</v>
      </c>
      <c r="C262" s="8">
        <v>1998</v>
      </c>
      <c r="D262" s="9">
        <v>8.3103619999999996</v>
      </c>
      <c r="E262" s="9">
        <v>2.8453557491302499</v>
      </c>
      <c r="F262" s="9">
        <v>2283.0700000000002</v>
      </c>
      <c r="G262" s="9">
        <v>2.1124842166900599</v>
      </c>
      <c r="H262" s="9">
        <v>80617.1875</v>
      </c>
      <c r="I262" s="9">
        <v>344392.5</v>
      </c>
      <c r="J262" s="9">
        <v>0.904363393783569</v>
      </c>
      <c r="K262" s="9">
        <v>0.59800672531127896</v>
      </c>
      <c r="L262" s="9" t="e">
        <f>IF(OR(OIT!#REF!="",OIT!#REF!=""),"",OIT!#REF!-OIT!#REF!)</f>
        <v>#REF!</v>
      </c>
      <c r="M262" s="9" t="e">
        <f>IF(OR(OIT!#REF!="",OIT!#REF!=""),"",OIT!#REF!-OIT!#REF!)</f>
        <v>#REF!</v>
      </c>
      <c r="N262" s="9" t="e">
        <f>IF(OR(OIT!#REF!="",OIT!#REF!=""),"",OIT!#REF!-OIT!#REF!)</f>
        <v>#REF!</v>
      </c>
      <c r="O262" s="9">
        <f t="shared" si="16"/>
        <v>6496.1463501668004</v>
      </c>
      <c r="P262" s="9">
        <f t="shared" si="17"/>
        <v>28332.902669426327</v>
      </c>
      <c r="Q262" s="9">
        <f t="shared" si="18"/>
        <v>12.410001738635399</v>
      </c>
      <c r="R262" s="9">
        <f t="shared" si="19"/>
        <v>121036.71047294233</v>
      </c>
    </row>
    <row r="263" spans="1:18" ht="15.5">
      <c r="A263" s="7" t="s">
        <v>14</v>
      </c>
      <c r="B263" s="7" t="s">
        <v>15</v>
      </c>
      <c r="C263" s="8">
        <v>1999</v>
      </c>
      <c r="D263" s="9">
        <v>8.4462080000000004</v>
      </c>
      <c r="E263" s="9">
        <v>2.9431579113006601</v>
      </c>
      <c r="F263" s="9">
        <v>2303.46</v>
      </c>
      <c r="G263" s="9">
        <v>2.13552641868591</v>
      </c>
      <c r="H263" s="9">
        <v>86030.875</v>
      </c>
      <c r="I263" s="9">
        <v>369007.1875</v>
      </c>
      <c r="J263" s="9">
        <v>0.90683609247207597</v>
      </c>
      <c r="K263" s="9">
        <v>0.58155202865600597</v>
      </c>
      <c r="L263" s="9" t="e">
        <f>IF(OR(OIT!#REF!="",OIT!#REF!=""),"",OIT!#REF!-OIT!#REF!)</f>
        <v>#REF!</v>
      </c>
      <c r="M263" s="9" t="e">
        <f>IF(OR(OIT!#REF!="",OIT!#REF!=""),"",OIT!#REF!-OIT!#REF!)</f>
        <v>#REF!</v>
      </c>
      <c r="N263" s="9" t="e">
        <f>IF(OR(OIT!#REF!="",OIT!#REF!=""),"",OIT!#REF!-OIT!#REF!)</f>
        <v>#REF!</v>
      </c>
      <c r="O263" s="9">
        <f t="shared" si="16"/>
        <v>6779.4465223646184</v>
      </c>
      <c r="P263" s="9">
        <f t="shared" si="17"/>
        <v>29230.805003589041</v>
      </c>
      <c r="Q263" s="9">
        <f t="shared" si="18"/>
        <v>12.689955546694554</v>
      </c>
      <c r="R263" s="9">
        <f t="shared" si="19"/>
        <v>125377.9778798637</v>
      </c>
    </row>
    <row r="264" spans="1:18" ht="15.5">
      <c r="A264" s="7" t="s">
        <v>14</v>
      </c>
      <c r="B264" s="7" t="s">
        <v>15</v>
      </c>
      <c r="C264" s="8">
        <v>2000</v>
      </c>
      <c r="D264" s="9">
        <v>8.5841899999999995</v>
      </c>
      <c r="E264" s="9">
        <v>3.0394012928009002</v>
      </c>
      <c r="F264" s="9">
        <v>2206.5700000000002</v>
      </c>
      <c r="G264" s="9">
        <v>2.1588199138641402</v>
      </c>
      <c r="H264" s="9">
        <v>90897.296875</v>
      </c>
      <c r="I264" s="9">
        <v>398342.09375</v>
      </c>
      <c r="J264" s="9">
        <v>0.92522919178009</v>
      </c>
      <c r="K264" s="9">
        <v>0.56509739160537698</v>
      </c>
      <c r="L264" s="9" t="e">
        <f>IF(OR(OIT!#REF!="",OIT!#REF!=""),"",OIT!#REF!-OIT!#REF!)</f>
        <v>#REF!</v>
      </c>
      <c r="M264" s="9" t="e">
        <f>IF(OR(OIT!#REF!="",OIT!#REF!=""),"",OIT!#REF!-OIT!#REF!)</f>
        <v>#REF!</v>
      </c>
      <c r="N264" s="9" t="e">
        <f>IF(OR(OIT!#REF!="",OIT!#REF!=""),"",OIT!#REF!-OIT!#REF!)</f>
        <v>#REF!</v>
      </c>
      <c r="O264" s="9">
        <f t="shared" si="16"/>
        <v>6706.651710655683</v>
      </c>
      <c r="P264" s="9">
        <f t="shared" si="17"/>
        <v>29906.316448011836</v>
      </c>
      <c r="Q264" s="9">
        <f t="shared" si="18"/>
        <v>13.553305106120282</v>
      </c>
      <c r="R264" s="9">
        <f t="shared" si="19"/>
        <v>131059.39472142413</v>
      </c>
    </row>
    <row r="265" spans="1:18" ht="15.5">
      <c r="A265" s="7" t="s">
        <v>14</v>
      </c>
      <c r="B265" s="7" t="s">
        <v>15</v>
      </c>
      <c r="C265" s="8">
        <v>2001</v>
      </c>
      <c r="D265" s="9">
        <v>8.7202830000000002</v>
      </c>
      <c r="E265" s="9">
        <v>2.99942278862</v>
      </c>
      <c r="F265" s="9">
        <v>2187.6</v>
      </c>
      <c r="G265" s="9">
        <v>2.17516422271729</v>
      </c>
      <c r="H265" s="9">
        <v>92541.8828125</v>
      </c>
      <c r="I265" s="9">
        <v>424802.1875</v>
      </c>
      <c r="J265" s="9">
        <v>0.92070209980010997</v>
      </c>
      <c r="K265" s="9">
        <v>0.54864275455474898</v>
      </c>
      <c r="L265" s="9" t="e">
        <f>IF(OR(OIT!#REF!="",OIT!#REF!=""),"",OIT!#REF!-OIT!#REF!)</f>
        <v>#REF!</v>
      </c>
      <c r="M265" s="9" t="e">
        <f>IF(OR(OIT!#REF!="",OIT!#REF!=""),"",OIT!#REF!-OIT!#REF!)</f>
        <v>#REF!</v>
      </c>
      <c r="N265" s="9" t="e">
        <f>IF(OR(OIT!#REF!="",OIT!#REF!=""),"",OIT!#REF!-OIT!#REF!)</f>
        <v>#REF!</v>
      </c>
      <c r="O265" s="9">
        <f t="shared" si="16"/>
        <v>6561.5372923851119</v>
      </c>
      <c r="P265" s="9">
        <f t="shared" si="17"/>
        <v>30853.23054942763</v>
      </c>
      <c r="Q265" s="9">
        <f t="shared" si="18"/>
        <v>14.103689225373758</v>
      </c>
      <c r="R265" s="9">
        <f t="shared" si="19"/>
        <v>141627.97892705436</v>
      </c>
    </row>
    <row r="266" spans="1:18" ht="15.5">
      <c r="A266" s="7" t="s">
        <v>14</v>
      </c>
      <c r="B266" s="7" t="s">
        <v>15</v>
      </c>
      <c r="C266" s="8">
        <v>2002</v>
      </c>
      <c r="D266" s="9">
        <v>8.8522350000000003</v>
      </c>
      <c r="E266" s="9">
        <v>3.1227982044220002</v>
      </c>
      <c r="F266" s="9">
        <v>2137.66</v>
      </c>
      <c r="G266" s="9">
        <v>2.19163250923157</v>
      </c>
      <c r="H266" s="9">
        <v>97898.3515625</v>
      </c>
      <c r="I266" s="9">
        <v>452109.5</v>
      </c>
      <c r="J266" s="9">
        <v>0.93391346931457497</v>
      </c>
      <c r="K266" s="9">
        <v>0.53218811750411998</v>
      </c>
      <c r="L266" s="9" t="e">
        <f>IF(OR(OIT!#REF!="",OIT!#REF!=""),"",OIT!#REF!-OIT!#REF!)</f>
        <v>#REF!</v>
      </c>
      <c r="M266" s="9" t="e">
        <f>IF(OR(OIT!#REF!="",OIT!#REF!=""),"",OIT!#REF!-OIT!#REF!)</f>
        <v>#REF!</v>
      </c>
      <c r="N266" s="9" t="e">
        <f>IF(OR(OIT!#REF!="",OIT!#REF!=""),"",OIT!#REF!-OIT!#REF!)</f>
        <v>#REF!</v>
      </c>
      <c r="O266" s="9">
        <f t="shared" si="16"/>
        <v>6675.4808096647321</v>
      </c>
      <c r="P266" s="9">
        <f t="shared" si="17"/>
        <v>31349.560603650993</v>
      </c>
      <c r="Q266" s="9">
        <f t="shared" si="18"/>
        <v>14.665363342931522</v>
      </c>
      <c r="R266" s="9">
        <f t="shared" si="19"/>
        <v>144777.04622725729</v>
      </c>
    </row>
    <row r="267" spans="1:18" ht="15.5">
      <c r="A267" s="7" t="s">
        <v>14</v>
      </c>
      <c r="B267" s="7" t="s">
        <v>15</v>
      </c>
      <c r="C267" s="8">
        <v>2003</v>
      </c>
      <c r="D267" s="9">
        <v>8.98062</v>
      </c>
      <c r="E267" s="9">
        <v>3.1244959831237802</v>
      </c>
      <c r="F267" s="9">
        <v>2130.04</v>
      </c>
      <c r="G267" s="9">
        <v>2.2082252502441402</v>
      </c>
      <c r="H267" s="9">
        <v>97650.2734375</v>
      </c>
      <c r="I267" s="9">
        <v>469090.53125</v>
      </c>
      <c r="J267" s="9">
        <v>0.91311246156692505</v>
      </c>
      <c r="K267" s="9">
        <v>0.51573342084884599</v>
      </c>
      <c r="L267" s="9" t="e">
        <f>IF(OR(OIT!#REF!="",OIT!#REF!=""),"",OIT!#REF!-OIT!#REF!)</f>
        <v>#REF!</v>
      </c>
      <c r="M267" s="9" t="e">
        <f>IF(OR(OIT!#REF!="",OIT!#REF!=""),"",OIT!#REF!-OIT!#REF!)</f>
        <v>#REF!</v>
      </c>
      <c r="N267" s="9" t="e">
        <f>IF(OR(OIT!#REF!="",OIT!#REF!=""),"",OIT!#REF!-OIT!#REF!)</f>
        <v>#REF!</v>
      </c>
      <c r="O267" s="9">
        <f t="shared" si="16"/>
        <v>6655.3014238929763</v>
      </c>
      <c r="P267" s="9">
        <f t="shared" si="17"/>
        <v>31253.128173290879</v>
      </c>
      <c r="Q267" s="9">
        <f t="shared" si="18"/>
        <v>14.672554587374361</v>
      </c>
      <c r="R267" s="9">
        <f t="shared" si="19"/>
        <v>150133.1842907402</v>
      </c>
    </row>
    <row r="268" spans="1:18" ht="15.5">
      <c r="A268" s="7" t="s">
        <v>14</v>
      </c>
      <c r="B268" s="7" t="s">
        <v>15</v>
      </c>
      <c r="C268" s="8">
        <v>2004</v>
      </c>
      <c r="D268" s="9">
        <v>9.1048919999999995</v>
      </c>
      <c r="E268" s="9">
        <v>3.2106819152832</v>
      </c>
      <c r="F268" s="9">
        <v>2151.7600000000002</v>
      </c>
      <c r="G268" s="9">
        <v>2.2249436378478999</v>
      </c>
      <c r="H268" s="9">
        <v>98931.4453125</v>
      </c>
      <c r="I268" s="9">
        <v>485265.03125</v>
      </c>
      <c r="J268" s="9">
        <v>0.89037561416625999</v>
      </c>
      <c r="K268" s="9">
        <v>0.499278783798218</v>
      </c>
      <c r="L268" s="9" t="e">
        <f>IF(OR(OIT!#REF!="",OIT!#REF!=""),"",OIT!#REF!-OIT!#REF!)</f>
        <v>#REF!</v>
      </c>
      <c r="M268" s="9" t="e">
        <f>IF(OR(OIT!#REF!="",OIT!#REF!=""),"",OIT!#REF!-OIT!#REF!)</f>
        <v>#REF!</v>
      </c>
      <c r="N268" s="9" t="e">
        <f>IF(OR(OIT!#REF!="",OIT!#REF!=""),"",OIT!#REF!-OIT!#REF!)</f>
        <v>#REF!</v>
      </c>
      <c r="O268" s="9">
        <f t="shared" si="16"/>
        <v>6908.6169180297793</v>
      </c>
      <c r="P268" s="9">
        <f t="shared" si="17"/>
        <v>30813.219098900892</v>
      </c>
      <c r="Q268" s="9">
        <f t="shared" si="18"/>
        <v>14.320007388789126</v>
      </c>
      <c r="R268" s="9">
        <f t="shared" si="19"/>
        <v>151140.79938597622</v>
      </c>
    </row>
    <row r="269" spans="1:18" ht="15.5">
      <c r="A269" s="7" t="s">
        <v>14</v>
      </c>
      <c r="B269" s="7" t="s">
        <v>15</v>
      </c>
      <c r="C269" s="8">
        <v>2005</v>
      </c>
      <c r="D269" s="9">
        <v>9.2250340000000008</v>
      </c>
      <c r="E269" s="9">
        <v>3.2797379493713401</v>
      </c>
      <c r="F269" s="9">
        <v>2153.19</v>
      </c>
      <c r="G269" s="9">
        <v>2.24178862571716</v>
      </c>
      <c r="H269" s="9">
        <v>108095.21875</v>
      </c>
      <c r="I269" s="9">
        <v>506542.375</v>
      </c>
      <c r="J269" s="9">
        <v>0.93631857633590698</v>
      </c>
      <c r="K269" s="9">
        <v>0.482824146747589</v>
      </c>
      <c r="L269" s="9" t="e">
        <f>IF(OR(OIT!#REF!="",OIT!#REF!=""),"",OIT!#REF!-OIT!#REF!)</f>
        <v>#REF!</v>
      </c>
      <c r="M269" s="9" t="e">
        <f>IF(OR(OIT!#REF!="",OIT!#REF!=""),"",OIT!#REF!-OIT!#REF!)</f>
        <v>#REF!</v>
      </c>
      <c r="N269" s="9" t="e">
        <f>IF(OR(OIT!#REF!="",OIT!#REF!=""),"",OIT!#REF!-OIT!#REF!)</f>
        <v>#REF!</v>
      </c>
      <c r="O269" s="9">
        <f t="shared" si="16"/>
        <v>7061.8989552068761</v>
      </c>
      <c r="P269" s="9">
        <f t="shared" si="17"/>
        <v>32958.49254380817</v>
      </c>
      <c r="Q269" s="9">
        <f t="shared" si="18"/>
        <v>15.306820365972426</v>
      </c>
      <c r="R269" s="9">
        <f t="shared" si="19"/>
        <v>154445.99014293018</v>
      </c>
    </row>
    <row r="270" spans="1:18" ht="15.5">
      <c r="A270" s="7" t="s">
        <v>14</v>
      </c>
      <c r="B270" s="7" t="s">
        <v>15</v>
      </c>
      <c r="C270" s="8">
        <v>2006</v>
      </c>
      <c r="D270" s="9">
        <v>9.3411829999999991</v>
      </c>
      <c r="E270" s="9">
        <v>3.4443411827087398</v>
      </c>
      <c r="F270" s="9">
        <v>2123.36</v>
      </c>
      <c r="G270" s="9">
        <v>2.27710962295532</v>
      </c>
      <c r="H270" s="9">
        <v>119630.2265625</v>
      </c>
      <c r="I270" s="9">
        <v>535258.375</v>
      </c>
      <c r="J270" s="9">
        <v>0.98446351289749201</v>
      </c>
      <c r="K270" s="9">
        <v>0.46636947989463801</v>
      </c>
      <c r="L270" s="9" t="e">
        <f>IF(OR(OIT!#REF!="",OIT!#REF!=""),"",OIT!#REF!-OIT!#REF!)</f>
        <v>#REF!</v>
      </c>
      <c r="M270" s="9" t="e">
        <f>IF(OR(OIT!#REF!="",OIT!#REF!=""),"",OIT!#REF!-OIT!#REF!)</f>
        <v>#REF!</v>
      </c>
      <c r="N270" s="9" t="e">
        <f>IF(OR(OIT!#REF!="",OIT!#REF!=""),"",OIT!#REF!-OIT!#REF!)</f>
        <v>#REF!</v>
      </c>
      <c r="O270" s="9">
        <f t="shared" si="16"/>
        <v>7313.57629371643</v>
      </c>
      <c r="P270" s="9">
        <f t="shared" si="17"/>
        <v>34732.397348748993</v>
      </c>
      <c r="Q270" s="9">
        <f t="shared" si="18"/>
        <v>16.357281548465163</v>
      </c>
      <c r="R270" s="9">
        <f t="shared" si="19"/>
        <v>155402.25157922821</v>
      </c>
    </row>
    <row r="271" spans="1:18" ht="15.5">
      <c r="A271" s="7" t="s">
        <v>14</v>
      </c>
      <c r="B271" s="7" t="s">
        <v>15</v>
      </c>
      <c r="C271" s="8">
        <v>2007</v>
      </c>
      <c r="D271" s="9">
        <v>9.4556579999999997</v>
      </c>
      <c r="E271" s="9">
        <v>3.5675959587097199</v>
      </c>
      <c r="F271" s="9">
        <v>2132.86</v>
      </c>
      <c r="G271" s="9">
        <v>2.31298732757568</v>
      </c>
      <c r="H271" s="9">
        <v>129768.484375</v>
      </c>
      <c r="I271" s="9">
        <v>569244.625</v>
      </c>
      <c r="J271" s="9">
        <v>1.0095990896225</v>
      </c>
      <c r="K271" s="9">
        <v>0.44991484284400901</v>
      </c>
      <c r="L271" s="9" t="e">
        <f>IF(OR(OIT!#REF!="",OIT!#REF!=""),"",OIT!#REF!-OIT!#REF!)</f>
        <v>#REF!</v>
      </c>
      <c r="M271" s="9" t="e">
        <f>IF(OR(OIT!#REF!="",OIT!#REF!=""),"",OIT!#REF!-OIT!#REF!)</f>
        <v>#REF!</v>
      </c>
      <c r="N271" s="9" t="e">
        <f>IF(OR(OIT!#REF!="",OIT!#REF!=""),"",OIT!#REF!-OIT!#REF!)</f>
        <v>#REF!</v>
      </c>
      <c r="O271" s="9">
        <f t="shared" si="16"/>
        <v>7609.182716493614</v>
      </c>
      <c r="P271" s="9">
        <f t="shared" si="17"/>
        <v>36374.209937700711</v>
      </c>
      <c r="Q271" s="9">
        <f t="shared" si="18"/>
        <v>17.05419480777018</v>
      </c>
      <c r="R271" s="9">
        <f t="shared" si="19"/>
        <v>159559.72357527749</v>
      </c>
    </row>
    <row r="272" spans="1:18" ht="15.5">
      <c r="A272" s="7" t="s">
        <v>14</v>
      </c>
      <c r="B272" s="7" t="s">
        <v>15</v>
      </c>
      <c r="C272" s="8">
        <v>2008</v>
      </c>
      <c r="D272" s="9">
        <v>9.5731300000000008</v>
      </c>
      <c r="E272" s="9">
        <v>3.7504043579101598</v>
      </c>
      <c r="F272" s="9">
        <v>2131.67</v>
      </c>
      <c r="G272" s="9">
        <v>2.3494300842285201</v>
      </c>
      <c r="H272" s="9">
        <v>133933.40625</v>
      </c>
      <c r="I272" s="9">
        <v>606204.875</v>
      </c>
      <c r="J272" s="9">
        <v>0.98057180643081698</v>
      </c>
      <c r="K272" s="9">
        <v>0.45933797955513</v>
      </c>
      <c r="L272" s="9" t="e">
        <f>IF(OR(OIT!#REF!="",OIT!#REF!=""),"",OIT!#REF!-OIT!#REF!)</f>
        <v>#REF!</v>
      </c>
      <c r="M272" s="9" t="e">
        <f>IF(OR(OIT!#REF!="",OIT!#REF!=""),"",OIT!#REF!-OIT!#REF!)</f>
        <v>#REF!</v>
      </c>
      <c r="N272" s="9" t="e">
        <f>IF(OR(OIT!#REF!="",OIT!#REF!=""),"",OIT!#REF!-OIT!#REF!)</f>
        <v>#REF!</v>
      </c>
      <c r="O272" s="9">
        <f t="shared" si="16"/>
        <v>7994.6244576263507</v>
      </c>
      <c r="P272" s="9">
        <f t="shared" si="17"/>
        <v>35711.724248483915</v>
      </c>
      <c r="Q272" s="9">
        <f t="shared" si="18"/>
        <v>16.752932793764472</v>
      </c>
      <c r="R272" s="9">
        <f t="shared" si="19"/>
        <v>161637.20419144243</v>
      </c>
    </row>
    <row r="273" spans="1:18" ht="15.5">
      <c r="A273" s="7" t="s">
        <v>14</v>
      </c>
      <c r="B273" s="7" t="s">
        <v>15</v>
      </c>
      <c r="C273" s="8">
        <v>2009</v>
      </c>
      <c r="D273" s="9">
        <v>9.6952649999999991</v>
      </c>
      <c r="E273" s="9">
        <v>3.7823588848114</v>
      </c>
      <c r="F273" s="9">
        <v>2131.33</v>
      </c>
      <c r="G273" s="9">
        <v>2.3864469528198202</v>
      </c>
      <c r="H273" s="9">
        <v>135200.625</v>
      </c>
      <c r="I273" s="9">
        <v>633923.3125</v>
      </c>
      <c r="J273" s="9">
        <v>0.95760071277618397</v>
      </c>
      <c r="K273" s="9">
        <v>0.477586150169373</v>
      </c>
      <c r="L273" s="9" t="e">
        <f>IF(OR(OIT!#REF!="",OIT!#REF!=""),"",OIT!#REF!-OIT!#REF!)</f>
        <v>#REF!</v>
      </c>
      <c r="M273" s="9" t="e">
        <f>IF(OR(OIT!#REF!="",OIT!#REF!=""),"",OIT!#REF!-OIT!#REF!)</f>
        <v>#REF!</v>
      </c>
      <c r="N273" s="9" t="e">
        <f>IF(OR(OIT!#REF!="",OIT!#REF!=""),"",OIT!#REF!-OIT!#REF!)</f>
        <v>#REF!</v>
      </c>
      <c r="O273" s="9">
        <f t="shared" si="16"/>
        <v>8061.4549619650807</v>
      </c>
      <c r="P273" s="9">
        <f t="shared" si="17"/>
        <v>35745.054638500151</v>
      </c>
      <c r="Q273" s="9">
        <f t="shared" si="18"/>
        <v>16.771243607747348</v>
      </c>
      <c r="R273" s="9">
        <f t="shared" si="19"/>
        <v>167599.99032498192</v>
      </c>
    </row>
    <row r="274" spans="1:18" ht="15.5">
      <c r="A274" s="7" t="s">
        <v>14</v>
      </c>
      <c r="B274" s="7" t="s">
        <v>15</v>
      </c>
      <c r="C274" s="8">
        <v>2010</v>
      </c>
      <c r="D274" s="9">
        <v>9.8201750000000008</v>
      </c>
      <c r="E274" s="9">
        <v>3.9361701011657702</v>
      </c>
      <c r="F274" s="9">
        <v>2114.77</v>
      </c>
      <c r="G274" s="9">
        <v>2.4240472316741899</v>
      </c>
      <c r="H274" s="9">
        <v>146475.890625</v>
      </c>
      <c r="I274" s="9">
        <v>668872.1875</v>
      </c>
      <c r="J274" s="9">
        <v>0.98640322685241699</v>
      </c>
      <c r="K274" s="9">
        <v>0.46976026892662098</v>
      </c>
      <c r="L274" s="9" t="e">
        <f>IF(OR(OIT!#REF!="",OIT!#REF!=""),"",OIT!#REF!-OIT!#REF!)</f>
        <v>#REF!</v>
      </c>
      <c r="M274" s="9" t="e">
        <f>IF(OR(OIT!#REF!="",OIT!#REF!=""),"",OIT!#REF!-OIT!#REF!)</f>
        <v>#REF!</v>
      </c>
      <c r="N274" s="9" t="e">
        <f>IF(OR(OIT!#REF!="",OIT!#REF!=""),"",OIT!#REF!-OIT!#REF!)</f>
        <v>#REF!</v>
      </c>
      <c r="O274" s="9">
        <f t="shared" si="16"/>
        <v>8324.0944448423361</v>
      </c>
      <c r="P274" s="9">
        <f t="shared" si="17"/>
        <v>37212.794889534482</v>
      </c>
      <c r="Q274" s="9">
        <f t="shared" si="18"/>
        <v>17.596615655383083</v>
      </c>
      <c r="R274" s="9">
        <f t="shared" si="19"/>
        <v>169929.69569630668</v>
      </c>
    </row>
    <row r="275" spans="1:18" ht="15.5">
      <c r="A275" s="7" t="s">
        <v>14</v>
      </c>
      <c r="B275" s="7" t="s">
        <v>15</v>
      </c>
      <c r="C275" s="8">
        <v>2011</v>
      </c>
      <c r="D275" s="9">
        <v>9.9456209999999992</v>
      </c>
      <c r="E275" s="9">
        <v>4.0897030830383301</v>
      </c>
      <c r="F275" s="9">
        <v>2107.81</v>
      </c>
      <c r="G275" s="9">
        <v>2.4703102111816402</v>
      </c>
      <c r="H275" s="9">
        <v>151065.59375</v>
      </c>
      <c r="I275" s="9">
        <v>702308.6875</v>
      </c>
      <c r="J275" s="9">
        <v>0.96940678358078003</v>
      </c>
      <c r="K275" s="9">
        <v>0.45831358432769798</v>
      </c>
      <c r="L275" s="9" t="e">
        <f>IF(OR(OIT!#REF!="",OIT!#REF!=""),"",OIT!#REF!-OIT!#REF!)</f>
        <v>#REF!</v>
      </c>
      <c r="M275" s="9" t="e">
        <f>IF(OR(OIT!#REF!="",OIT!#REF!=""),"",OIT!#REF!-OIT!#REF!)</f>
        <v>#REF!</v>
      </c>
      <c r="N275" s="9" t="e">
        <f>IF(OR(OIT!#REF!="",OIT!#REF!=""),"",OIT!#REF!-OIT!#REF!)</f>
        <v>#REF!</v>
      </c>
      <c r="O275" s="9">
        <f t="shared" si="16"/>
        <v>8620.3170554590215</v>
      </c>
      <c r="P275" s="9">
        <f t="shared" si="17"/>
        <v>36938.03454253947</v>
      </c>
      <c r="Q275" s="9">
        <f t="shared" si="18"/>
        <v>17.52436630556809</v>
      </c>
      <c r="R275" s="9">
        <f t="shared" si="19"/>
        <v>171726.08212384931</v>
      </c>
    </row>
    <row r="276" spans="1:18" ht="15.5">
      <c r="A276" s="7" t="s">
        <v>14</v>
      </c>
      <c r="B276" s="7" t="s">
        <v>15</v>
      </c>
      <c r="C276" s="8">
        <v>2012</v>
      </c>
      <c r="D276" s="9">
        <v>10.070411</v>
      </c>
      <c r="E276" s="9">
        <v>4.1466946601867702</v>
      </c>
      <c r="F276" s="9">
        <v>2114.5</v>
      </c>
      <c r="G276" s="9">
        <v>2.51745581626892</v>
      </c>
      <c r="H276" s="9">
        <v>155170.59375</v>
      </c>
      <c r="I276" s="9">
        <v>735416.25</v>
      </c>
      <c r="J276" s="9">
        <v>0.95631617307662997</v>
      </c>
      <c r="K276" s="9">
        <v>0.45586276054382302</v>
      </c>
      <c r="L276" s="9" t="e">
        <f>IF(OR(OIT!#REF!="",OIT!#REF!=""),"",OIT!#REF!-OIT!#REF!)</f>
        <v>#REF!</v>
      </c>
      <c r="M276" s="9" t="e">
        <f>IF(OR(OIT!#REF!="",OIT!#REF!=""),"",OIT!#REF!-OIT!#REF!)</f>
        <v>#REF!</v>
      </c>
      <c r="N276" s="9" t="e">
        <f>IF(OR(OIT!#REF!="",OIT!#REF!=""),"",OIT!#REF!-OIT!#REF!)</f>
        <v>#REF!</v>
      </c>
      <c r="O276" s="9">
        <f t="shared" si="16"/>
        <v>8768.1858589649255</v>
      </c>
      <c r="P276" s="9">
        <f t="shared" si="17"/>
        <v>37420.308574880939</v>
      </c>
      <c r="Q276" s="9">
        <f t="shared" si="18"/>
        <v>17.697000981263155</v>
      </c>
      <c r="R276" s="9">
        <f t="shared" si="19"/>
        <v>177349.98842834411</v>
      </c>
    </row>
    <row r="277" spans="1:18" ht="15.5">
      <c r="A277" s="7" t="s">
        <v>14</v>
      </c>
      <c r="B277" s="7" t="s">
        <v>15</v>
      </c>
      <c r="C277" s="8">
        <v>2013</v>
      </c>
      <c r="D277" s="9">
        <v>10.193833</v>
      </c>
      <c r="E277" s="9">
        <v>4.2232422828674299</v>
      </c>
      <c r="F277" s="9">
        <v>2122.63</v>
      </c>
      <c r="G277" s="9">
        <v>2.5636966228485099</v>
      </c>
      <c r="H277" s="9">
        <v>162735.484375</v>
      </c>
      <c r="I277" s="9">
        <v>766449.5</v>
      </c>
      <c r="J277" s="9">
        <v>0.96448671817779497</v>
      </c>
      <c r="K277" s="9">
        <v>0.453506350517273</v>
      </c>
      <c r="L277" s="9" t="e">
        <f>IF(OR(OIT!#REF!="",OIT!#REF!=""),"",OIT!#REF!-OIT!#REF!)</f>
        <v>#REF!</v>
      </c>
      <c r="M277" s="9" t="e">
        <f>IF(OR(OIT!#REF!="",OIT!#REF!=""),"",OIT!#REF!-OIT!#REF!)</f>
        <v>#REF!</v>
      </c>
      <c r="N277" s="9" t="e">
        <f>IF(OR(OIT!#REF!="",OIT!#REF!=""),"",OIT!#REF!-OIT!#REF!)</f>
        <v>#REF!</v>
      </c>
      <c r="O277" s="9">
        <f t="shared" si="16"/>
        <v>8964.380766882894</v>
      </c>
      <c r="P277" s="9">
        <f t="shared" si="17"/>
        <v>38533.305331587195</v>
      </c>
      <c r="Q277" s="9">
        <f t="shared" si="18"/>
        <v>18.153566722220635</v>
      </c>
      <c r="R277" s="9">
        <f t="shared" si="19"/>
        <v>181483.66791772324</v>
      </c>
    </row>
    <row r="278" spans="1:18" ht="15.5">
      <c r="A278" s="7" t="s">
        <v>14</v>
      </c>
      <c r="B278" s="7" t="s">
        <v>15</v>
      </c>
      <c r="C278" s="8">
        <v>2014</v>
      </c>
      <c r="D278" s="9">
        <v>10.315528</v>
      </c>
      <c r="E278" s="9">
        <v>4.41955471038818</v>
      </c>
      <c r="F278" s="9">
        <v>2181.5100000000002</v>
      </c>
      <c r="G278" s="9">
        <v>2.59653639793396</v>
      </c>
      <c r="H278" s="9">
        <v>174209.109375</v>
      </c>
      <c r="I278" s="9">
        <v>802075.4375</v>
      </c>
      <c r="J278" s="9">
        <v>0.97133815288543701</v>
      </c>
      <c r="K278" s="9">
        <v>0.44398698210716298</v>
      </c>
      <c r="L278" s="9" t="e">
        <f>IF(OR(OIT!#REF!="",OIT!#REF!=""),"",OIT!#REF!-OIT!#REF!)</f>
        <v>#REF!</v>
      </c>
      <c r="M278" s="9" t="e">
        <f>IF(OR(OIT!#REF!="",OIT!#REF!=""),"",OIT!#REF!-OIT!#REF!)</f>
        <v>#REF!</v>
      </c>
      <c r="N278" s="9" t="e">
        <f>IF(OR(OIT!#REF!="",OIT!#REF!=""),"",OIT!#REF!-OIT!#REF!)</f>
        <v>#REF!</v>
      </c>
      <c r="O278" s="9">
        <f t="shared" si="16"/>
        <v>9641.3027962589204</v>
      </c>
      <c r="P278" s="9">
        <f t="shared" si="17"/>
        <v>39417.796767063621</v>
      </c>
      <c r="Q278" s="9">
        <f t="shared" si="18"/>
        <v>18.069042437148404</v>
      </c>
      <c r="R278" s="9">
        <f t="shared" si="19"/>
        <v>181483.31451010634</v>
      </c>
    </row>
    <row r="279" spans="1:18" ht="15.5">
      <c r="A279" s="7" t="s">
        <v>14</v>
      </c>
      <c r="B279" s="7" t="s">
        <v>15</v>
      </c>
      <c r="C279" s="8">
        <v>2015</v>
      </c>
      <c r="D279" s="9">
        <v>10.434829000000001</v>
      </c>
      <c r="E279" s="9">
        <v>4.5783882141113299</v>
      </c>
      <c r="F279" s="9">
        <v>2156.6</v>
      </c>
      <c r="G279" s="9">
        <v>2.6297967433929399</v>
      </c>
      <c r="H279" s="9">
        <v>186276.59375</v>
      </c>
      <c r="I279" s="9">
        <v>848719.8125</v>
      </c>
      <c r="J279" s="9">
        <v>0.99065250158309903</v>
      </c>
      <c r="K279" s="9">
        <v>0.43434786796569802</v>
      </c>
      <c r="L279" s="9" t="e">
        <f>IF(OR(OIT!#REF!="",OIT!#REF!=""),"",OIT!#REF!-OIT!#REF!)</f>
        <v>#REF!</v>
      </c>
      <c r="M279" s="9" t="e">
        <f>IF(OR(OIT!#REF!="",OIT!#REF!=""),"",OIT!#REF!-OIT!#REF!)</f>
        <v>#REF!</v>
      </c>
      <c r="N279" s="9" t="e">
        <f>IF(OR(OIT!#REF!="",OIT!#REF!=""),"",OIT!#REF!-OIT!#REF!)</f>
        <v>#REF!</v>
      </c>
      <c r="O279" s="9">
        <f t="shared" si="16"/>
        <v>9873.7520225524931</v>
      </c>
      <c r="P279" s="9">
        <f t="shared" si="17"/>
        <v>40686.063531236941</v>
      </c>
      <c r="Q279" s="9">
        <f t="shared" si="18"/>
        <v>18.865836748231914</v>
      </c>
      <c r="R279" s="9">
        <f t="shared" si="19"/>
        <v>185375.23967148719</v>
      </c>
    </row>
    <row r="280" spans="1:18" ht="15.5">
      <c r="A280" s="7" t="s">
        <v>14</v>
      </c>
      <c r="B280" s="7" t="s">
        <v>15</v>
      </c>
      <c r="C280" s="8">
        <v>2016</v>
      </c>
      <c r="D280" s="9">
        <v>10.55143</v>
      </c>
      <c r="E280" s="9">
        <v>4.7301440238952601</v>
      </c>
      <c r="F280" s="9">
        <v>2142.1</v>
      </c>
      <c r="G280" s="9">
        <v>2.6634833812713601</v>
      </c>
      <c r="H280" s="9">
        <v>198681.125</v>
      </c>
      <c r="I280" s="9">
        <v>902956.875</v>
      </c>
      <c r="J280" s="9">
        <v>1.0033323764801001</v>
      </c>
      <c r="K280" s="9">
        <v>0.42650595307350198</v>
      </c>
      <c r="L280" s="9" t="e">
        <f>IF(OR(OIT!#REF!="",OIT!#REF!=""),"",OIT!#REF!-OIT!#REF!)</f>
        <v>#REF!</v>
      </c>
      <c r="M280" s="9" t="e">
        <f>IF(OR(OIT!#REF!="",OIT!#REF!=""),"",OIT!#REF!-OIT!#REF!)</f>
        <v>#REF!</v>
      </c>
      <c r="N280" s="9" t="e">
        <f>IF(OR(OIT!#REF!="",OIT!#REF!=""),"",OIT!#REF!-OIT!#REF!)</f>
        <v>#REF!</v>
      </c>
      <c r="O280" s="9">
        <f t="shared" si="16"/>
        <v>10132.441513586036</v>
      </c>
      <c r="P280" s="9">
        <f t="shared" si="17"/>
        <v>42003.187217201616</v>
      </c>
      <c r="Q280" s="9">
        <f t="shared" si="18"/>
        <v>19.60841567489922</v>
      </c>
      <c r="R280" s="9">
        <f t="shared" si="19"/>
        <v>190894.16103157416</v>
      </c>
    </row>
    <row r="281" spans="1:18" ht="15.5">
      <c r="A281" s="7" t="s">
        <v>14</v>
      </c>
      <c r="B281" s="7" t="s">
        <v>15</v>
      </c>
      <c r="C281" s="8">
        <v>2017</v>
      </c>
      <c r="D281" s="9">
        <v>10.666843</v>
      </c>
      <c r="E281" s="9">
        <v>4.8676071166992196</v>
      </c>
      <c r="F281" s="9">
        <v>2126.67</v>
      </c>
      <c r="G281" s="9">
        <v>2.6976013183593799</v>
      </c>
      <c r="H281" s="9">
        <v>207952.984375</v>
      </c>
      <c r="I281" s="9">
        <v>955286.125</v>
      </c>
      <c r="J281" s="9">
        <v>1.0013445615768399</v>
      </c>
      <c r="K281" s="9">
        <v>0.42650595307350198</v>
      </c>
      <c r="L281" s="9" t="e">
        <f>IF(OR(OIT!#REF!="",OIT!#REF!=""),"",OIT!#REF!-OIT!#REF!)</f>
        <v>#REF!</v>
      </c>
      <c r="M281" s="9" t="e">
        <f>IF(OR(OIT!#REF!="",OIT!#REF!=""),"",OIT!#REF!-OIT!#REF!)</f>
        <v>#REF!</v>
      </c>
      <c r="N281" s="9" t="e">
        <f>IF(OR(OIT!#REF!="",OIT!#REF!=""),"",OIT!#REF!-OIT!#REF!)</f>
        <v>#REF!</v>
      </c>
      <c r="O281" s="9">
        <f t="shared" si="16"/>
        <v>10351.79402687073</v>
      </c>
      <c r="P281" s="9">
        <f t="shared" si="17"/>
        <v>42721.809585161282</v>
      </c>
      <c r="Q281" s="9">
        <f t="shared" si="18"/>
        <v>20.088593709960303</v>
      </c>
      <c r="R281" s="9">
        <f t="shared" si="19"/>
        <v>196253.74482725107</v>
      </c>
    </row>
    <row r="282" spans="1:18" ht="15.5">
      <c r="A282" s="7" t="s">
        <v>14</v>
      </c>
      <c r="B282" s="7" t="s">
        <v>15</v>
      </c>
      <c r="C282" s="8">
        <v>2018</v>
      </c>
      <c r="D282" s="9">
        <v>10.782052999999999</v>
      </c>
      <c r="E282" s="9">
        <v>5.0465269088745099</v>
      </c>
      <c r="F282" s="9">
        <v>2109.65</v>
      </c>
      <c r="G282" s="9">
        <v>2.73215627670288</v>
      </c>
      <c r="H282" s="9">
        <v>222473.375</v>
      </c>
      <c r="I282" s="9">
        <v>1016236.9375</v>
      </c>
      <c r="J282" s="9">
        <v>1.01515352725983</v>
      </c>
      <c r="K282" s="9">
        <v>0.42650595307350198</v>
      </c>
      <c r="L282" s="9" t="e">
        <f>IF(OR(OIT!#REF!="",OIT!#REF!=""),"",OIT!#REF!-OIT!#REF!)</f>
        <v>#REF!</v>
      </c>
      <c r="M282" s="9" t="e">
        <f>IF(OR(OIT!#REF!="",OIT!#REF!=""),"",OIT!#REF!-OIT!#REF!)</f>
        <v>#REF!</v>
      </c>
      <c r="N282" s="9" t="e">
        <f>IF(OR(OIT!#REF!="",OIT!#REF!=""),"",OIT!#REF!-OIT!#REF!)</f>
        <v>#REF!</v>
      </c>
      <c r="O282" s="9">
        <f t="shared" si="16"/>
        <v>10646.405493307111</v>
      </c>
      <c r="P282" s="9">
        <f t="shared" si="17"/>
        <v>44084.452340632939</v>
      </c>
      <c r="Q282" s="9">
        <f t="shared" si="18"/>
        <v>20.896571630665246</v>
      </c>
      <c r="R282" s="9">
        <f t="shared" si="19"/>
        <v>201373.5299246911</v>
      </c>
    </row>
    <row r="283" spans="1:18" ht="15.5">
      <c r="A283" s="7" t="s">
        <v>14</v>
      </c>
      <c r="B283" s="7" t="s">
        <v>15</v>
      </c>
      <c r="C283" s="8">
        <v>2019</v>
      </c>
      <c r="D283" s="9">
        <v>10.894043</v>
      </c>
      <c r="E283" s="9">
        <v>5.1865592002868697</v>
      </c>
      <c r="F283" s="9">
        <v>2070.54</v>
      </c>
      <c r="G283" s="9">
        <v>2.7671539783477801</v>
      </c>
      <c r="H283" s="9">
        <v>233713.109375</v>
      </c>
      <c r="I283" s="9">
        <v>1082148.5</v>
      </c>
      <c r="J283" s="9">
        <v>1.01829469203949</v>
      </c>
      <c r="K283" s="9">
        <v>0.42650595307350198</v>
      </c>
      <c r="L283" s="9" t="e">
        <f>IF(OR(OIT!#REF!="",OIT!#REF!=""),"",OIT!#REF!-OIT!#REF!)</f>
        <v>#REF!</v>
      </c>
      <c r="M283" s="9" t="e">
        <f>IF(OR(OIT!#REF!="",OIT!#REF!=""),"",OIT!#REF!-OIT!#REF!)</f>
        <v>#REF!</v>
      </c>
      <c r="N283" s="9" t="e">
        <f>IF(OR(OIT!#REF!="",OIT!#REF!=""),"",OIT!#REF!-OIT!#REF!)</f>
        <v>#REF!</v>
      </c>
      <c r="O283" s="9">
        <f t="shared" si="16"/>
        <v>10738.978286561975</v>
      </c>
      <c r="P283" s="9">
        <f t="shared" si="17"/>
        <v>45061.301789840414</v>
      </c>
      <c r="Q283" s="9">
        <f t="shared" si="18"/>
        <v>21.763067504052284</v>
      </c>
      <c r="R283" s="9">
        <f t="shared" si="19"/>
        <v>208644.77936358002</v>
      </c>
    </row>
    <row r="284" spans="1:18" ht="15.5">
      <c r="A284" s="7" t="s">
        <v>14</v>
      </c>
      <c r="B284" s="7" t="s">
        <v>15</v>
      </c>
      <c r="C284" s="8">
        <v>2020</v>
      </c>
      <c r="D284" s="9">
        <v>11.0083</v>
      </c>
      <c r="E284" s="9">
        <v>4.8934359550476101</v>
      </c>
      <c r="F284" s="9">
        <v>1801.03</v>
      </c>
      <c r="G284" s="9">
        <v>2.8026001453399698</v>
      </c>
      <c r="H284" s="9">
        <v>218007</v>
      </c>
      <c r="I284" s="9">
        <v>1133589.875</v>
      </c>
      <c r="J284" s="9">
        <v>1.00005483627319</v>
      </c>
      <c r="K284" s="9">
        <v>0.42650595307350198</v>
      </c>
      <c r="L284" s="9" t="e">
        <f>IF(OR(OIT!#REF!="",OIT!#REF!=""),"",OIT!#REF!-OIT!#REF!)</f>
        <v>#REF!</v>
      </c>
      <c r="M284" s="9" t="e">
        <f>IF(OR(OIT!#REF!="",OIT!#REF!=""),"",OIT!#REF!-OIT!#REF!)</f>
        <v>#REF!</v>
      </c>
      <c r="N284" s="9" t="e">
        <f>IF(OR(OIT!#REF!="",OIT!#REF!=""),"",OIT!#REF!-OIT!#REF!)</f>
        <v>#REF!</v>
      </c>
      <c r="O284" s="9">
        <f t="shared" si="16"/>
        <v>8813.2249581193973</v>
      </c>
      <c r="P284" s="9">
        <f t="shared" si="17"/>
        <v>44550.90492706345</v>
      </c>
      <c r="Q284" s="9">
        <f t="shared" si="18"/>
        <v>24.736348049207091</v>
      </c>
      <c r="R284" s="9">
        <f t="shared" si="19"/>
        <v>231655.1979863341</v>
      </c>
    </row>
    <row r="285" spans="1:18" ht="15.5">
      <c r="A285" s="7" t="s">
        <v>14</v>
      </c>
      <c r="B285" s="7" t="s">
        <v>15</v>
      </c>
      <c r="C285" s="8">
        <v>2021</v>
      </c>
      <c r="D285" s="9">
        <v>11.123476</v>
      </c>
      <c r="E285" s="9">
        <v>5.0977239608764702</v>
      </c>
      <c r="F285" s="9">
        <v>2052.63</v>
      </c>
      <c r="G285" s="9">
        <v>2.8422648906707799</v>
      </c>
      <c r="H285" s="9">
        <v>244760.796875</v>
      </c>
      <c r="I285" s="9">
        <v>1202378.125</v>
      </c>
      <c r="J285" s="9">
        <v>1</v>
      </c>
      <c r="K285" s="9">
        <v>0.42650595307350198</v>
      </c>
      <c r="L285" s="9" t="e">
        <f>IF(OR(OIT!#REF!="",OIT!#REF!=""),"",OIT!#REF!-OIT!#REF!)</f>
        <v>#REF!</v>
      </c>
      <c r="M285" s="9" t="e">
        <f>IF(OR(OIT!#REF!="",OIT!#REF!=""),"",OIT!#REF!-OIT!#REF!)</f>
        <v>#REF!</v>
      </c>
      <c r="N285" s="9" t="e">
        <f>IF(OR(OIT!#REF!="",OIT!#REF!=""),"",OIT!#REF!-OIT!#REF!)</f>
        <v>#REF!</v>
      </c>
      <c r="O285" s="9">
        <f t="shared" si="16"/>
        <v>10463.74113381387</v>
      </c>
      <c r="P285" s="9">
        <f t="shared" si="17"/>
        <v>48013.740789706746</v>
      </c>
      <c r="Q285" s="9">
        <f t="shared" si="18"/>
        <v>23.391327608827083</v>
      </c>
      <c r="R285" s="9">
        <f t="shared" si="19"/>
        <v>235865.67931647494</v>
      </c>
    </row>
    <row r="286" spans="1:18" ht="15.5">
      <c r="A286" s="7" t="s">
        <v>14</v>
      </c>
      <c r="B286" s="7" t="s">
        <v>15</v>
      </c>
      <c r="C286" s="8">
        <v>2022</v>
      </c>
      <c r="D286" s="9">
        <v>11.230734</v>
      </c>
      <c r="E286" s="9">
        <v>5.2583179473876998</v>
      </c>
      <c r="F286" s="9">
        <v>2057.6999999999998</v>
      </c>
      <c r="G286" s="9">
        <v>2.8833880424499498</v>
      </c>
      <c r="H286" s="9">
        <v>256652.09375</v>
      </c>
      <c r="I286" s="9">
        <v>1272652.375</v>
      </c>
      <c r="J286" s="9">
        <v>0.99197554588317904</v>
      </c>
      <c r="K286" s="9">
        <v>0.42650595307350198</v>
      </c>
      <c r="L286" s="9" t="e">
        <f>IF(OR(OIT!#REF!="",OIT!#REF!=""),"",OIT!#REF!-OIT!#REF!)</f>
        <v>#REF!</v>
      </c>
      <c r="M286" s="9" t="e">
        <f>IF(OR(OIT!#REF!="",OIT!#REF!=""),"",OIT!#REF!-OIT!#REF!)</f>
        <v>#REF!</v>
      </c>
      <c r="N286" s="9" t="e">
        <f>IF(OR(OIT!#REF!="",OIT!#REF!=""),"",OIT!#REF!-OIT!#REF!)</f>
        <v>#REF!</v>
      </c>
      <c r="O286" s="9">
        <f t="shared" si="16"/>
        <v>10820.040840339669</v>
      </c>
      <c r="P286" s="9">
        <f t="shared" si="17"/>
        <v>48808.781880050294</v>
      </c>
      <c r="Q286" s="9">
        <f t="shared" si="18"/>
        <v>23.720067006876754</v>
      </c>
      <c r="R286" s="9">
        <f t="shared" si="19"/>
        <v>242026.516413342</v>
      </c>
    </row>
    <row r="287" spans="1:18" ht="15.5">
      <c r="A287" s="7" t="s">
        <v>14</v>
      </c>
      <c r="B287" s="7" t="s">
        <v>15</v>
      </c>
      <c r="C287" s="8">
        <v>2023</v>
      </c>
      <c r="D287" s="9">
        <v>11.331265</v>
      </c>
      <c r="E287" s="9">
        <v>5.4336915016174299</v>
      </c>
      <c r="F287" s="9">
        <v>2072.15</v>
      </c>
      <c r="G287" s="9">
        <v>2.92603707313538</v>
      </c>
      <c r="H287" s="9">
        <v>262710.6875</v>
      </c>
      <c r="I287" s="9">
        <v>1342092.875</v>
      </c>
      <c r="J287" s="9">
        <v>0.96091711521148704</v>
      </c>
      <c r="K287" s="9">
        <v>0.42650595307350198</v>
      </c>
      <c r="L287" s="9" t="e">
        <f>IF(OR(OIT!#REF!="",OIT!#REF!=""),"",OIT!#REF!-OIT!#REF!)</f>
        <v>#REF!</v>
      </c>
      <c r="M287" s="9" t="e">
        <f>IF(OR(OIT!#REF!="",OIT!#REF!=""),"",OIT!#REF!-OIT!#REF!)</f>
        <v>#REF!</v>
      </c>
      <c r="N287" s="9" t="e">
        <f>IF(OR(OIT!#REF!="",OIT!#REF!=""),"",OIT!#REF!-OIT!#REF!)</f>
        <v>#REF!</v>
      </c>
      <c r="O287" s="9">
        <f t="shared" si="16"/>
        <v>11259.423845076557</v>
      </c>
      <c r="P287" s="9">
        <f t="shared" si="17"/>
        <v>48348.473118468304</v>
      </c>
      <c r="Q287" s="9">
        <f t="shared" si="18"/>
        <v>23.332516042983524</v>
      </c>
      <c r="R287" s="9">
        <f t="shared" si="19"/>
        <v>246994.67656573869</v>
      </c>
    </row>
    <row r="288" spans="1:18" ht="15.5">
      <c r="A288" s="7" t="s">
        <v>14</v>
      </c>
      <c r="B288" s="7" t="s">
        <v>15</v>
      </c>
      <c r="C288" s="8">
        <v>2024</v>
      </c>
      <c r="D288" s="9"/>
      <c r="E288" s="9"/>
      <c r="F288" s="9"/>
      <c r="G288" s="9"/>
      <c r="H288" s="9"/>
      <c r="I288" s="9"/>
      <c r="J288" s="9"/>
      <c r="K288" s="9"/>
      <c r="L288" s="9" t="e">
        <f>IF(OR(OIT!#REF!="",OIT!#REF!=""),"",OIT!#REF!-OIT!#REF!)</f>
        <v>#REF!</v>
      </c>
      <c r="M288" s="9" t="e">
        <f>IF(OR(OIT!#REF!="",OIT!#REF!=""),"",OIT!#REF!-OIT!#REF!)</f>
        <v>#REF!</v>
      </c>
      <c r="N288" s="9" t="e">
        <f>IF(OR(OIT!#REF!="",OIT!#REF!=""),"",OIT!#REF!-OIT!#REF!)</f>
        <v>#REF!</v>
      </c>
      <c r="O288" s="9">
        <f t="shared" si="16"/>
        <v>0</v>
      </c>
      <c r="P288" s="9" t="str">
        <f t="shared" si="17"/>
        <v/>
      </c>
      <c r="Q288" s="9" t="str">
        <f t="shared" si="18"/>
        <v/>
      </c>
      <c r="R288" s="9" t="str">
        <f t="shared" si="19"/>
        <v/>
      </c>
    </row>
    <row r="289" spans="1:18" ht="15.5">
      <c r="A289" s="7" t="s">
        <v>14</v>
      </c>
      <c r="B289" s="7" t="s">
        <v>15</v>
      </c>
      <c r="C289" s="8">
        <v>2025</v>
      </c>
      <c r="D289" s="9"/>
      <c r="E289" s="9"/>
      <c r="F289" s="9"/>
      <c r="G289" s="9"/>
      <c r="H289" s="9"/>
      <c r="I289" s="9"/>
      <c r="J289" s="9"/>
      <c r="K289" s="9"/>
      <c r="L289" s="9" t="e">
        <f>IF(OR(OIT!#REF!="",OIT!#REF!=""),"",OIT!#REF!-OIT!#REF!)</f>
        <v>#REF!</v>
      </c>
      <c r="M289" s="9" t="e">
        <f>IF(OR(OIT!#REF!="",OIT!#REF!=""),"",OIT!#REF!-OIT!#REF!)</f>
        <v>#REF!</v>
      </c>
      <c r="N289" s="9" t="e">
        <f>IF(OR(OIT!#REF!="",OIT!#REF!=""),"",OIT!#REF!-OIT!#REF!)</f>
        <v>#REF!</v>
      </c>
      <c r="O289" s="9">
        <f t="shared" si="16"/>
        <v>0</v>
      </c>
      <c r="P289" s="9" t="str">
        <f t="shared" si="17"/>
        <v/>
      </c>
      <c r="Q289" s="9" t="str">
        <f t="shared" si="18"/>
        <v/>
      </c>
      <c r="R289" s="9" t="str">
        <f t="shared" si="19"/>
        <v/>
      </c>
    </row>
    <row r="290" spans="1:18" ht="15.5">
      <c r="A290" s="7" t="s">
        <v>16</v>
      </c>
      <c r="B290" s="7" t="s">
        <v>17</v>
      </c>
      <c r="C290" s="8">
        <v>1990</v>
      </c>
      <c r="D290" s="9">
        <v>10.473673</v>
      </c>
      <c r="E290" s="9">
        <v>3.3364412784576398</v>
      </c>
      <c r="F290" s="9"/>
      <c r="G290" s="9">
        <v>2.2163615226745601</v>
      </c>
      <c r="H290" s="9">
        <v>90858.4296875</v>
      </c>
      <c r="I290" s="9">
        <v>768962.75</v>
      </c>
      <c r="J290" s="9">
        <v>0.83884960412979104</v>
      </c>
      <c r="K290" s="9">
        <v>0.48732045292854298</v>
      </c>
      <c r="L290" s="9" t="e">
        <f>IF(OR(OIT!#REF!="",OIT!#REF!=""),"",OIT!#REF!-OIT!#REF!)</f>
        <v>#REF!</v>
      </c>
      <c r="M290" s="9" t="e">
        <f>IF(OR(OIT!#REF!="",OIT!#REF!=""),"",OIT!#REF!-OIT!#REF!)</f>
        <v>#REF!</v>
      </c>
      <c r="N290" s="9" t="e">
        <f>IF(OR(OIT!#REF!="",OIT!#REF!=""),"",OIT!#REF!-OIT!#REF!)</f>
        <v>#REF!</v>
      </c>
      <c r="O290" s="9">
        <f t="shared" si="16"/>
        <v>0</v>
      </c>
      <c r="P290" s="9">
        <f t="shared" si="17"/>
        <v>27232.138108991916</v>
      </c>
      <c r="Q290" s="9" t="str">
        <f t="shared" si="18"/>
        <v/>
      </c>
      <c r="R290" s="9">
        <f t="shared" si="19"/>
        <v>230473.93489732684</v>
      </c>
    </row>
    <row r="291" spans="1:18" ht="15.5">
      <c r="A291" s="7" t="s">
        <v>16</v>
      </c>
      <c r="B291" s="7" t="s">
        <v>17</v>
      </c>
      <c r="C291" s="8">
        <v>1991</v>
      </c>
      <c r="D291" s="9">
        <v>10.70238</v>
      </c>
      <c r="E291" s="9">
        <v>3.4790625572204599</v>
      </c>
      <c r="F291" s="9"/>
      <c r="G291" s="9">
        <v>2.239013671875</v>
      </c>
      <c r="H291" s="9">
        <v>94778.75</v>
      </c>
      <c r="I291" s="9">
        <v>783936.9375</v>
      </c>
      <c r="J291" s="9">
        <v>0.845958471298218</v>
      </c>
      <c r="K291" s="9">
        <v>0.48732045292854298</v>
      </c>
      <c r="L291" s="9" t="e">
        <f>IF(OR(OIT!#REF!="",OIT!#REF!=""),"",OIT!#REF!-OIT!#REF!)</f>
        <v>#REF!</v>
      </c>
      <c r="M291" s="9" t="e">
        <f>IF(OR(OIT!#REF!="",OIT!#REF!=""),"",OIT!#REF!-OIT!#REF!)</f>
        <v>#REF!</v>
      </c>
      <c r="N291" s="9" t="e">
        <f>IF(OR(OIT!#REF!="",OIT!#REF!=""),"",OIT!#REF!-OIT!#REF!)</f>
        <v>#REF!</v>
      </c>
      <c r="O291" s="9">
        <f t="shared" si="16"/>
        <v>0</v>
      </c>
      <c r="P291" s="9">
        <f t="shared" si="17"/>
        <v>27242.611606191393</v>
      </c>
      <c r="Q291" s="9" t="str">
        <f t="shared" si="18"/>
        <v/>
      </c>
      <c r="R291" s="9">
        <f t="shared" si="19"/>
        <v>225329.93431607439</v>
      </c>
    </row>
    <row r="292" spans="1:18" ht="15.5">
      <c r="A292" s="7" t="s">
        <v>16</v>
      </c>
      <c r="B292" s="7" t="s">
        <v>17</v>
      </c>
      <c r="C292" s="8">
        <v>1992</v>
      </c>
      <c r="D292" s="9">
        <v>10.930128</v>
      </c>
      <c r="E292" s="9">
        <v>3.5853183269500701</v>
      </c>
      <c r="F292" s="9"/>
      <c r="G292" s="9">
        <v>2.2618970870971702</v>
      </c>
      <c r="H292" s="9">
        <v>96356.546875</v>
      </c>
      <c r="I292" s="9">
        <v>797760.25</v>
      </c>
      <c r="J292" s="9">
        <v>0.83700042963027999</v>
      </c>
      <c r="K292" s="9">
        <v>0.48732045292854298</v>
      </c>
      <c r="L292" s="9" t="e">
        <f>IF(OR(OIT!#REF!="",OIT!#REF!=""),"",OIT!#REF!-OIT!#REF!)</f>
        <v>#REF!</v>
      </c>
      <c r="M292" s="9" t="e">
        <f>IF(OR(OIT!#REF!="",OIT!#REF!=""),"",OIT!#REF!-OIT!#REF!)</f>
        <v>#REF!</v>
      </c>
      <c r="N292" s="9" t="e">
        <f>IF(OR(OIT!#REF!="",OIT!#REF!=""),"",OIT!#REF!-OIT!#REF!)</f>
        <v>#REF!</v>
      </c>
      <c r="O292" s="9">
        <f t="shared" si="16"/>
        <v>0</v>
      </c>
      <c r="P292" s="9">
        <f t="shared" si="17"/>
        <v>26875.311503223707</v>
      </c>
      <c r="Q292" s="9" t="str">
        <f t="shared" si="18"/>
        <v/>
      </c>
      <c r="R292" s="9">
        <f t="shared" si="19"/>
        <v>222507.50902741522</v>
      </c>
    </row>
    <row r="293" spans="1:18" ht="15.5">
      <c r="A293" s="7" t="s">
        <v>16</v>
      </c>
      <c r="B293" s="7" t="s">
        <v>17</v>
      </c>
      <c r="C293" s="8">
        <v>1993</v>
      </c>
      <c r="D293" s="9">
        <v>11.154273999999999</v>
      </c>
      <c r="E293" s="9">
        <v>3.7050657272338898</v>
      </c>
      <c r="F293" s="9"/>
      <c r="G293" s="9">
        <v>2.2850143909454301</v>
      </c>
      <c r="H293" s="9">
        <v>98817.5234375</v>
      </c>
      <c r="I293" s="9">
        <v>811931.9375</v>
      </c>
      <c r="J293" s="9">
        <v>0.82769972085952803</v>
      </c>
      <c r="K293" s="9">
        <v>0.48732045292854298</v>
      </c>
      <c r="L293" s="9" t="e">
        <f>IF(OR(OIT!#REF!="",OIT!#REF!=""),"",OIT!#REF!-OIT!#REF!)</f>
        <v>#REF!</v>
      </c>
      <c r="M293" s="9" t="e">
        <f>IF(OR(OIT!#REF!="",OIT!#REF!=""),"",OIT!#REF!-OIT!#REF!)</f>
        <v>#REF!</v>
      </c>
      <c r="N293" s="9" t="e">
        <f>IF(OR(OIT!#REF!="",OIT!#REF!=""),"",OIT!#REF!-OIT!#REF!)</f>
        <v>#REF!</v>
      </c>
      <c r="O293" s="9">
        <f t="shared" si="16"/>
        <v>0</v>
      </c>
      <c r="P293" s="9">
        <f t="shared" si="17"/>
        <v>26670.923193385483</v>
      </c>
      <c r="Q293" s="9" t="str">
        <f t="shared" si="18"/>
        <v/>
      </c>
      <c r="R293" s="9">
        <f t="shared" si="19"/>
        <v>219141.03480862355</v>
      </c>
    </row>
    <row r="294" spans="1:18" ht="15.5">
      <c r="A294" s="7" t="s">
        <v>16</v>
      </c>
      <c r="B294" s="7" t="s">
        <v>17</v>
      </c>
      <c r="C294" s="8">
        <v>1994</v>
      </c>
      <c r="D294" s="9">
        <v>11.372197</v>
      </c>
      <c r="E294" s="9">
        <v>3.8474764823913601</v>
      </c>
      <c r="F294" s="9"/>
      <c r="G294" s="9">
        <v>2.3083682060241699</v>
      </c>
      <c r="H294" s="9">
        <v>102635.9375</v>
      </c>
      <c r="I294" s="9">
        <v>826787.125</v>
      </c>
      <c r="J294" s="9">
        <v>0.82615995407104503</v>
      </c>
      <c r="K294" s="9">
        <v>0.48732045292854298</v>
      </c>
      <c r="L294" s="9" t="e">
        <f>IF(OR(OIT!#REF!="",OIT!#REF!=""),"",OIT!#REF!-OIT!#REF!)</f>
        <v>#REF!</v>
      </c>
      <c r="M294" s="9" t="e">
        <f>IF(OR(OIT!#REF!="",OIT!#REF!=""),"",OIT!#REF!-OIT!#REF!)</f>
        <v>#REF!</v>
      </c>
      <c r="N294" s="9" t="e">
        <f>IF(OR(OIT!#REF!="",OIT!#REF!=""),"",OIT!#REF!-OIT!#REF!)</f>
        <v>#REF!</v>
      </c>
      <c r="O294" s="9">
        <f t="shared" si="16"/>
        <v>0</v>
      </c>
      <c r="P294" s="9">
        <f t="shared" si="17"/>
        <v>26676.170203958642</v>
      </c>
      <c r="Q294" s="9" t="str">
        <f t="shared" si="18"/>
        <v/>
      </c>
      <c r="R294" s="9">
        <f t="shared" si="19"/>
        <v>214890.75470218828</v>
      </c>
    </row>
    <row r="295" spans="1:18" ht="15.5">
      <c r="A295" s="7" t="s">
        <v>16</v>
      </c>
      <c r="B295" s="7" t="s">
        <v>17</v>
      </c>
      <c r="C295" s="8">
        <v>1995</v>
      </c>
      <c r="D295" s="9">
        <v>11.590514000000001</v>
      </c>
      <c r="E295" s="9">
        <v>3.9489264488220202</v>
      </c>
      <c r="F295" s="9">
        <v>1943</v>
      </c>
      <c r="G295" s="9">
        <v>2.3319604396820099</v>
      </c>
      <c r="H295" s="9">
        <v>104635.8984375</v>
      </c>
      <c r="I295" s="9">
        <v>840871.5625</v>
      </c>
      <c r="J295" s="9">
        <v>0.81715148687362704</v>
      </c>
      <c r="K295" s="9">
        <v>0.48732045292854298</v>
      </c>
      <c r="L295" s="9" t="e">
        <f>IF(OR(OIT!#REF!="",OIT!#REF!=""),"",OIT!#REF!-OIT!#REF!)</f>
        <v>#REF!</v>
      </c>
      <c r="M295" s="9" t="e">
        <f>IF(OR(OIT!#REF!="",OIT!#REF!=""),"",OIT!#REF!-OIT!#REF!)</f>
        <v>#REF!</v>
      </c>
      <c r="N295" s="9" t="e">
        <f>IF(OR(OIT!#REF!="",OIT!#REF!=""),"",OIT!#REF!-OIT!#REF!)</f>
        <v>#REF!</v>
      </c>
      <c r="O295" s="9">
        <f t="shared" si="16"/>
        <v>7672.764090061185</v>
      </c>
      <c r="P295" s="9">
        <f t="shared" si="17"/>
        <v>26497.302442468455</v>
      </c>
      <c r="Q295" s="9">
        <f t="shared" si="18"/>
        <v>13.637314689896272</v>
      </c>
      <c r="R295" s="9">
        <f t="shared" si="19"/>
        <v>212936.74961984548</v>
      </c>
    </row>
    <row r="296" spans="1:18" ht="15.5">
      <c r="A296" s="7" t="s">
        <v>16</v>
      </c>
      <c r="B296" s="7" t="s">
        <v>17</v>
      </c>
      <c r="C296" s="8">
        <v>1996</v>
      </c>
      <c r="D296" s="9">
        <v>11.81095</v>
      </c>
      <c r="E296" s="9">
        <v>4.0999283790588397</v>
      </c>
      <c r="F296" s="9">
        <v>1936.31</v>
      </c>
      <c r="G296" s="9">
        <v>2.3557939529418901</v>
      </c>
      <c r="H296" s="9">
        <v>109811.6953125</v>
      </c>
      <c r="I296" s="9">
        <v>855305.375</v>
      </c>
      <c r="J296" s="9">
        <v>0.83134466409683205</v>
      </c>
      <c r="K296" s="9">
        <v>0.48732045292854298</v>
      </c>
      <c r="L296" s="9" t="e">
        <f>IF(OR(OIT!#REF!="",OIT!#REF!=""),"",OIT!#REF!-OIT!#REF!)</f>
        <v>#REF!</v>
      </c>
      <c r="M296" s="9" t="e">
        <f>IF(OR(OIT!#REF!="",OIT!#REF!=""),"",OIT!#REF!-OIT!#REF!)</f>
        <v>#REF!</v>
      </c>
      <c r="N296" s="9" t="e">
        <f>IF(OR(OIT!#REF!="",OIT!#REF!=""),"",OIT!#REF!-OIT!#REF!)</f>
        <v>#REF!</v>
      </c>
      <c r="O296" s="9">
        <f t="shared" si="16"/>
        <v>7938.7323196554216</v>
      </c>
      <c r="P296" s="9">
        <f t="shared" si="17"/>
        <v>26783.808193670899</v>
      </c>
      <c r="Q296" s="9">
        <f t="shared" si="18"/>
        <v>13.832396772041099</v>
      </c>
      <c r="R296" s="9">
        <f t="shared" si="19"/>
        <v>208614.71126389282</v>
      </c>
    </row>
    <row r="297" spans="1:18" ht="15.5">
      <c r="A297" s="7" t="s">
        <v>16</v>
      </c>
      <c r="B297" s="7" t="s">
        <v>17</v>
      </c>
      <c r="C297" s="8">
        <v>1997</v>
      </c>
      <c r="D297" s="9">
        <v>12.031127</v>
      </c>
      <c r="E297" s="9">
        <v>4.2896366119384801</v>
      </c>
      <c r="F297" s="9">
        <v>1929.64</v>
      </c>
      <c r="G297" s="9">
        <v>2.37987112998962</v>
      </c>
      <c r="H297" s="9">
        <v>112545.390625</v>
      </c>
      <c r="I297" s="9">
        <v>857733.4375</v>
      </c>
      <c r="J297" s="9">
        <v>0.828471660614014</v>
      </c>
      <c r="K297" s="9">
        <v>0.48732045292854298</v>
      </c>
      <c r="L297" s="9" t="e">
        <f>IF(OR(OIT!#REF!="",OIT!#REF!=""),"",OIT!#REF!-OIT!#REF!)</f>
        <v>#REF!</v>
      </c>
      <c r="M297" s="9" t="e">
        <f>IF(OR(OIT!#REF!="",OIT!#REF!=""),"",OIT!#REF!-OIT!#REF!)</f>
        <v>#REF!</v>
      </c>
      <c r="N297" s="9" t="e">
        <f>IF(OR(OIT!#REF!="",OIT!#REF!=""),"",OIT!#REF!-OIT!#REF!)</f>
        <v>#REF!</v>
      </c>
      <c r="O297" s="9">
        <f t="shared" si="16"/>
        <v>8277.4543918609688</v>
      </c>
      <c r="P297" s="9">
        <f t="shared" si="17"/>
        <v>26236.579180570941</v>
      </c>
      <c r="Q297" s="9">
        <f t="shared" si="18"/>
        <v>13.596618633823377</v>
      </c>
      <c r="R297" s="9">
        <f t="shared" si="19"/>
        <v>199954.80155891145</v>
      </c>
    </row>
    <row r="298" spans="1:18" ht="15.5">
      <c r="A298" s="7" t="s">
        <v>16</v>
      </c>
      <c r="B298" s="7" t="s">
        <v>17</v>
      </c>
      <c r="C298" s="8">
        <v>1998</v>
      </c>
      <c r="D298" s="9">
        <v>12.251184</v>
      </c>
      <c r="E298" s="9">
        <v>4.5001111030578604</v>
      </c>
      <c r="F298" s="9">
        <v>1923</v>
      </c>
      <c r="G298" s="9">
        <v>2.4041941165924099</v>
      </c>
      <c r="H298" s="9">
        <v>116361.609375</v>
      </c>
      <c r="I298" s="9">
        <v>860401.375</v>
      </c>
      <c r="J298" s="9">
        <v>0.83200454711914096</v>
      </c>
      <c r="K298" s="9">
        <v>0.48732045292854298</v>
      </c>
      <c r="L298" s="9" t="e">
        <f>IF(OR(OIT!#REF!="",OIT!#REF!=""),"",OIT!#REF!-OIT!#REF!)</f>
        <v>#REF!</v>
      </c>
      <c r="M298" s="9" t="e">
        <f>IF(OR(OIT!#REF!="",OIT!#REF!=""),"",OIT!#REF!-OIT!#REF!)</f>
        <v>#REF!</v>
      </c>
      <c r="N298" s="9" t="e">
        <f>IF(OR(OIT!#REF!="",OIT!#REF!=""),"",OIT!#REF!-OIT!#REF!)</f>
        <v>#REF!</v>
      </c>
      <c r="O298" s="9">
        <f t="shared" si="16"/>
        <v>8653.7136511802655</v>
      </c>
      <c r="P298" s="9">
        <f t="shared" si="17"/>
        <v>25857.497006225331</v>
      </c>
      <c r="Q298" s="9">
        <f t="shared" si="18"/>
        <v>13.4464363006892</v>
      </c>
      <c r="R298" s="9">
        <f t="shared" si="19"/>
        <v>191195.58501907889</v>
      </c>
    </row>
    <row r="299" spans="1:18" ht="15.5">
      <c r="A299" s="7" t="s">
        <v>16</v>
      </c>
      <c r="B299" s="7" t="s">
        <v>17</v>
      </c>
      <c r="C299" s="8">
        <v>1999</v>
      </c>
      <c r="D299" s="9">
        <v>12.470795000000001</v>
      </c>
      <c r="E299" s="9">
        <v>4.2673969268798801</v>
      </c>
      <c r="F299" s="9">
        <v>1788.7</v>
      </c>
      <c r="G299" s="9">
        <v>2.4287657737731898</v>
      </c>
      <c r="H299" s="9">
        <v>111264.28125</v>
      </c>
      <c r="I299" s="9">
        <v>854237.625</v>
      </c>
      <c r="J299" s="9">
        <v>0.84725600481033303</v>
      </c>
      <c r="K299" s="9">
        <v>0.48732045292854298</v>
      </c>
      <c r="L299" s="9" t="e">
        <f>IF(OR(OIT!#REF!="",OIT!#REF!=""),"",OIT!#REF!-OIT!#REF!)</f>
        <v>#REF!</v>
      </c>
      <c r="M299" s="9" t="e">
        <f>IF(OR(OIT!#REF!="",OIT!#REF!=""),"",OIT!#REF!-OIT!#REF!)</f>
        <v>#REF!</v>
      </c>
      <c r="N299" s="9" t="e">
        <f>IF(OR(OIT!#REF!="",OIT!#REF!=""),"",OIT!#REF!-OIT!#REF!)</f>
        <v>#REF!</v>
      </c>
      <c r="O299" s="9">
        <f t="shared" si="16"/>
        <v>7633.0928831100418</v>
      </c>
      <c r="P299" s="9">
        <f t="shared" si="17"/>
        <v>26073.103382804187</v>
      </c>
      <c r="Q299" s="9">
        <f t="shared" si="18"/>
        <v>14.576565876225295</v>
      </c>
      <c r="R299" s="9">
        <f t="shared" si="19"/>
        <v>200177.68200076441</v>
      </c>
    </row>
    <row r="300" spans="1:18" ht="15.5">
      <c r="A300" s="7" t="s">
        <v>16</v>
      </c>
      <c r="B300" s="7" t="s">
        <v>17</v>
      </c>
      <c r="C300" s="8">
        <v>2000</v>
      </c>
      <c r="D300" s="9">
        <v>12.689206</v>
      </c>
      <c r="E300" s="9">
        <v>4.5930418968200701</v>
      </c>
      <c r="F300" s="9">
        <v>1800.23</v>
      </c>
      <c r="G300" s="9">
        <v>2.4535887241363499</v>
      </c>
      <c r="H300" s="9">
        <v>116847.7109375</v>
      </c>
      <c r="I300" s="9">
        <v>855093.375</v>
      </c>
      <c r="J300" s="9">
        <v>0.85307604074478205</v>
      </c>
      <c r="K300" s="9">
        <v>0.48732045292854298</v>
      </c>
      <c r="L300" s="9" t="e">
        <f>IF(OR(OIT!#REF!="",OIT!#REF!=""),"",OIT!#REF!-OIT!#REF!)</f>
        <v>#REF!</v>
      </c>
      <c r="M300" s="9" t="e">
        <f>IF(OR(OIT!#REF!="",OIT!#REF!=""),"",OIT!#REF!-OIT!#REF!)</f>
        <v>#REF!</v>
      </c>
      <c r="N300" s="9" t="e">
        <f>IF(OR(OIT!#REF!="",OIT!#REF!=""),"",OIT!#REF!-OIT!#REF!)</f>
        <v>#REF!</v>
      </c>
      <c r="O300" s="9">
        <f t="shared" si="16"/>
        <v>8268.5318139123956</v>
      </c>
      <c r="P300" s="9">
        <f t="shared" si="17"/>
        <v>25440.157865400251</v>
      </c>
      <c r="Q300" s="9">
        <f t="shared" si="18"/>
        <v>14.131615329930204</v>
      </c>
      <c r="R300" s="9">
        <f t="shared" si="19"/>
        <v>186171.47289512257</v>
      </c>
    </row>
    <row r="301" spans="1:18" ht="15.5">
      <c r="A301" s="7" t="s">
        <v>16</v>
      </c>
      <c r="B301" s="7" t="s">
        <v>17</v>
      </c>
      <c r="C301" s="8">
        <v>2001</v>
      </c>
      <c r="D301" s="9">
        <v>12.910740000000001</v>
      </c>
      <c r="E301" s="9">
        <v>4.8390097618103001</v>
      </c>
      <c r="F301" s="9">
        <v>1811.82</v>
      </c>
      <c r="G301" s="9">
        <v>2.4842765331268302</v>
      </c>
      <c r="H301" s="9">
        <v>121762.640625</v>
      </c>
      <c r="I301" s="9">
        <v>857254.5</v>
      </c>
      <c r="J301" s="9">
        <v>0.85867267847061202</v>
      </c>
      <c r="K301" s="9">
        <v>0.48732045292854298</v>
      </c>
      <c r="L301" s="9" t="e">
        <f>IF(OR(OIT!#REF!="",OIT!#REF!=""),"",OIT!#REF!-OIT!#REF!)</f>
        <v>#REF!</v>
      </c>
      <c r="M301" s="9" t="e">
        <f>IF(OR(OIT!#REF!="",OIT!#REF!=""),"",OIT!#REF!-OIT!#REF!)</f>
        <v>#REF!</v>
      </c>
      <c r="N301" s="9" t="e">
        <f>IF(OR(OIT!#REF!="",OIT!#REF!=""),"",OIT!#REF!-OIT!#REF!)</f>
        <v>#REF!</v>
      </c>
      <c r="O301" s="9">
        <f t="shared" si="16"/>
        <v>8767.414666643137</v>
      </c>
      <c r="P301" s="9">
        <f t="shared" si="17"/>
        <v>25162.718535093001</v>
      </c>
      <c r="Q301" s="9">
        <f t="shared" si="18"/>
        <v>13.888089619881116</v>
      </c>
      <c r="R301" s="9">
        <f t="shared" si="19"/>
        <v>177154.94330379207</v>
      </c>
    </row>
    <row r="302" spans="1:18" ht="15.5">
      <c r="A302" s="7" t="s">
        <v>16</v>
      </c>
      <c r="B302" s="7" t="s">
        <v>17</v>
      </c>
      <c r="C302" s="8">
        <v>2002</v>
      </c>
      <c r="D302" s="9">
        <v>13.138472</v>
      </c>
      <c r="E302" s="9">
        <v>4.9795331954956099</v>
      </c>
      <c r="F302" s="9">
        <v>1823.49</v>
      </c>
      <c r="G302" s="9">
        <v>2.51534819602966</v>
      </c>
      <c r="H302" s="9">
        <v>127763.2265625</v>
      </c>
      <c r="I302" s="9">
        <v>867015.375</v>
      </c>
      <c r="J302" s="9">
        <v>0.87511509656906095</v>
      </c>
      <c r="K302" s="9">
        <v>0.48732045292854298</v>
      </c>
      <c r="L302" s="9" t="e">
        <f>IF(OR(OIT!#REF!="",OIT!#REF!=""),"",OIT!#REF!-OIT!#REF!)</f>
        <v>#REF!</v>
      </c>
      <c r="M302" s="9" t="e">
        <f>IF(OR(OIT!#REF!="",OIT!#REF!=""),"",OIT!#REF!-OIT!#REF!)</f>
        <v>#REF!</v>
      </c>
      <c r="N302" s="9" t="e">
        <f>IF(OR(OIT!#REF!="",OIT!#REF!=""),"",OIT!#REF!-OIT!#REF!)</f>
        <v>#REF!</v>
      </c>
      <c r="O302" s="9">
        <f t="shared" si="16"/>
        <v>9080.1289866542902</v>
      </c>
      <c r="P302" s="9">
        <f t="shared" si="17"/>
        <v>25657.671421504361</v>
      </c>
      <c r="Q302" s="9">
        <f t="shared" si="18"/>
        <v>14.070640048206659</v>
      </c>
      <c r="R302" s="9">
        <f t="shared" si="19"/>
        <v>174115.79378249461</v>
      </c>
    </row>
    <row r="303" spans="1:18" ht="15.5">
      <c r="A303" s="7" t="s">
        <v>16</v>
      </c>
      <c r="B303" s="7" t="s">
        <v>17</v>
      </c>
      <c r="C303" s="8">
        <v>2003</v>
      </c>
      <c r="D303" s="9">
        <v>13.372306</v>
      </c>
      <c r="E303" s="9">
        <v>5.1207442283630398</v>
      </c>
      <c r="F303" s="9">
        <v>1835.24</v>
      </c>
      <c r="G303" s="9">
        <v>2.5468084812164302</v>
      </c>
      <c r="H303" s="9">
        <v>131448.546875</v>
      </c>
      <c r="I303" s="9">
        <v>876904.5</v>
      </c>
      <c r="J303" s="9">
        <v>0.87417560815811202</v>
      </c>
      <c r="K303" s="9">
        <v>0.48732045292854298</v>
      </c>
      <c r="L303" s="9" t="e">
        <f>IF(OR(OIT!#REF!="",OIT!#REF!=""),"",OIT!#REF!-OIT!#REF!)</f>
        <v>#REF!</v>
      </c>
      <c r="M303" s="9" t="e">
        <f>IF(OR(OIT!#REF!="",OIT!#REF!=""),"",OIT!#REF!-OIT!#REF!)</f>
        <v>#REF!</v>
      </c>
      <c r="N303" s="9" t="e">
        <f>IF(OR(OIT!#REF!="",OIT!#REF!=""),"",OIT!#REF!-OIT!#REF!)</f>
        <v>#REF!</v>
      </c>
      <c r="O303" s="9">
        <f t="shared" si="16"/>
        <v>9397.7946376609852</v>
      </c>
      <c r="P303" s="9">
        <f t="shared" si="17"/>
        <v>25669.813021889684</v>
      </c>
      <c r="Q303" s="9">
        <f t="shared" si="18"/>
        <v>13.987169537439073</v>
      </c>
      <c r="R303" s="9">
        <f t="shared" si="19"/>
        <v>171245.51840393757</v>
      </c>
    </row>
    <row r="304" spans="1:18" ht="15.5">
      <c r="A304" s="7" t="s">
        <v>16</v>
      </c>
      <c r="B304" s="7" t="s">
        <v>17</v>
      </c>
      <c r="C304" s="8">
        <v>2004</v>
      </c>
      <c r="D304" s="9">
        <v>13.608701</v>
      </c>
      <c r="E304" s="9">
        <v>5.56852149963379</v>
      </c>
      <c r="F304" s="9">
        <v>1782.72</v>
      </c>
      <c r="G304" s="9">
        <v>2.5725436210632302</v>
      </c>
      <c r="H304" s="9">
        <v>140429.65625</v>
      </c>
      <c r="I304" s="9">
        <v>886167.625</v>
      </c>
      <c r="J304" s="9">
        <v>0.89935398101806596</v>
      </c>
      <c r="K304" s="9">
        <v>0.48732045292854298</v>
      </c>
      <c r="L304" s="9" t="e">
        <f>IF(OR(OIT!#REF!="",OIT!#REF!=""),"",OIT!#REF!-OIT!#REF!)</f>
        <v>#REF!</v>
      </c>
      <c r="M304" s="9" t="e">
        <f>IF(OR(OIT!#REF!="",OIT!#REF!=""),"",OIT!#REF!-OIT!#REF!)</f>
        <v>#REF!</v>
      </c>
      <c r="N304" s="9" t="e">
        <f>IF(OR(OIT!#REF!="",OIT!#REF!=""),"",OIT!#REF!-OIT!#REF!)</f>
        <v>#REF!</v>
      </c>
      <c r="O304" s="9">
        <f t="shared" si="16"/>
        <v>9927.1146478271494</v>
      </c>
      <c r="P304" s="9">
        <f t="shared" si="17"/>
        <v>25218.481469315557</v>
      </c>
      <c r="Q304" s="9">
        <f t="shared" si="18"/>
        <v>14.146069752577835</v>
      </c>
      <c r="R304" s="9">
        <f t="shared" si="19"/>
        <v>159138.76332492894</v>
      </c>
    </row>
    <row r="305" spans="1:18" ht="15.5">
      <c r="A305" s="7" t="s">
        <v>16</v>
      </c>
      <c r="B305" s="7" t="s">
        <v>17</v>
      </c>
      <c r="C305" s="8">
        <v>2005</v>
      </c>
      <c r="D305" s="9">
        <v>13.846163000000001</v>
      </c>
      <c r="E305" s="9">
        <v>5.7552251815795898</v>
      </c>
      <c r="F305" s="9">
        <v>1808.51</v>
      </c>
      <c r="G305" s="9">
        <v>2.5941624641418501</v>
      </c>
      <c r="H305" s="9">
        <v>148010.90625</v>
      </c>
      <c r="I305" s="9">
        <v>899538.8125</v>
      </c>
      <c r="J305" s="9">
        <v>0.914173364639282</v>
      </c>
      <c r="K305" s="9">
        <v>0.48732045292854298</v>
      </c>
      <c r="L305" s="9" t="e">
        <f>IF(OR(OIT!#REF!="",OIT!#REF!=""),"",OIT!#REF!-OIT!#REF!)</f>
        <v>#REF!</v>
      </c>
      <c r="M305" s="9" t="e">
        <f>IF(OR(OIT!#REF!="",OIT!#REF!=""),"",OIT!#REF!-OIT!#REF!)</f>
        <v>#REF!</v>
      </c>
      <c r="N305" s="9" t="e">
        <f>IF(OR(OIT!#REF!="",OIT!#REF!=""),"",OIT!#REF!-OIT!#REF!)</f>
        <v>#REF!</v>
      </c>
      <c r="O305" s="9">
        <f t="shared" si="16"/>
        <v>10408.382293138504</v>
      </c>
      <c r="P305" s="9">
        <f t="shared" si="17"/>
        <v>25717.656838820101</v>
      </c>
      <c r="Q305" s="9">
        <f t="shared" si="18"/>
        <v>14.220356447473391</v>
      </c>
      <c r="R305" s="9">
        <f t="shared" si="19"/>
        <v>156299.49899772834</v>
      </c>
    </row>
    <row r="306" spans="1:18" ht="15.5">
      <c r="A306" s="7" t="s">
        <v>16</v>
      </c>
      <c r="B306" s="7" t="s">
        <v>17</v>
      </c>
      <c r="C306" s="8">
        <v>2006</v>
      </c>
      <c r="D306" s="9">
        <v>14.086131</v>
      </c>
      <c r="E306" s="9">
        <v>5.9680008888244602</v>
      </c>
      <c r="F306" s="9">
        <v>1772.75</v>
      </c>
      <c r="G306" s="9">
        <v>2.6159629821777299</v>
      </c>
      <c r="H306" s="9">
        <v>154436.265625</v>
      </c>
      <c r="I306" s="9">
        <v>914583.1875</v>
      </c>
      <c r="J306" s="9">
        <v>0.93281608819961603</v>
      </c>
      <c r="K306" s="9">
        <v>0.48732045292854298</v>
      </c>
      <c r="L306" s="9" t="e">
        <f>IF(OR(OIT!#REF!="",OIT!#REF!=""),"",OIT!#REF!-OIT!#REF!)</f>
        <v>#REF!</v>
      </c>
      <c r="M306" s="9" t="e">
        <f>IF(OR(OIT!#REF!="",OIT!#REF!=""),"",OIT!#REF!-OIT!#REF!)</f>
        <v>#REF!</v>
      </c>
      <c r="N306" s="9" t="e">
        <f>IF(OR(OIT!#REF!="",OIT!#REF!=""),"",OIT!#REF!-OIT!#REF!)</f>
        <v>#REF!</v>
      </c>
      <c r="O306" s="9">
        <f t="shared" si="16"/>
        <v>10579.773575663561</v>
      </c>
      <c r="P306" s="9">
        <f t="shared" si="17"/>
        <v>25877.386498750991</v>
      </c>
      <c r="Q306" s="9">
        <f t="shared" si="18"/>
        <v>14.59731293118093</v>
      </c>
      <c r="R306" s="9">
        <f t="shared" si="19"/>
        <v>153247.8303099162</v>
      </c>
    </row>
    <row r="307" spans="1:18" ht="15.5">
      <c r="A307" s="7" t="s">
        <v>16</v>
      </c>
      <c r="B307" s="7" t="s">
        <v>17</v>
      </c>
      <c r="C307" s="8">
        <v>2007</v>
      </c>
      <c r="D307" s="9">
        <v>14.328773</v>
      </c>
      <c r="E307" s="9">
        <v>6.21716356277466</v>
      </c>
      <c r="F307" s="9">
        <v>1729.05</v>
      </c>
      <c r="G307" s="9">
        <v>2.6379468441009499</v>
      </c>
      <c r="H307" s="9">
        <v>157374.3125</v>
      </c>
      <c r="I307" s="9">
        <v>930672.6875</v>
      </c>
      <c r="J307" s="9">
        <v>0.92847615480422996</v>
      </c>
      <c r="K307" s="9">
        <v>0.48732045292854298</v>
      </c>
      <c r="L307" s="9" t="e">
        <f>IF(OR(OIT!#REF!="",OIT!#REF!=""),"",OIT!#REF!-OIT!#REF!)</f>
        <v>#REF!</v>
      </c>
      <c r="M307" s="9" t="e">
        <f>IF(OR(OIT!#REF!="",OIT!#REF!=""),"",OIT!#REF!-OIT!#REF!)</f>
        <v>#REF!</v>
      </c>
      <c r="N307" s="9" t="e">
        <f>IF(OR(OIT!#REF!="",OIT!#REF!=""),"",OIT!#REF!-OIT!#REF!)</f>
        <v>#REF!</v>
      </c>
      <c r="O307" s="9">
        <f t="shared" si="16"/>
        <v>10749.786658215526</v>
      </c>
      <c r="P307" s="9">
        <f t="shared" si="17"/>
        <v>25312.879564932238</v>
      </c>
      <c r="Q307" s="9">
        <f t="shared" si="18"/>
        <v>14.639761467240531</v>
      </c>
      <c r="R307" s="9">
        <f t="shared" si="19"/>
        <v>149694.09733281165</v>
      </c>
    </row>
    <row r="308" spans="1:18" ht="15.5">
      <c r="A308" s="7" t="s">
        <v>16</v>
      </c>
      <c r="B308" s="7" t="s">
        <v>17</v>
      </c>
      <c r="C308" s="8">
        <v>2008</v>
      </c>
      <c r="D308" s="9">
        <v>14.575202000000001</v>
      </c>
      <c r="E308" s="9">
        <v>6.3608589172363299</v>
      </c>
      <c r="F308" s="9">
        <v>1758.1</v>
      </c>
      <c r="G308" s="9">
        <v>2.6601152420043901</v>
      </c>
      <c r="H308" s="9">
        <v>167705.796875</v>
      </c>
      <c r="I308" s="9">
        <v>953534.25</v>
      </c>
      <c r="J308" s="9">
        <v>0.95010977983474698</v>
      </c>
      <c r="K308" s="9">
        <v>0.475110232830048</v>
      </c>
      <c r="L308" s="9" t="e">
        <f>IF(OR(OIT!#REF!="",OIT!#REF!=""),"",OIT!#REF!-OIT!#REF!)</f>
        <v>#REF!</v>
      </c>
      <c r="M308" s="9" t="e">
        <f>IF(OR(OIT!#REF!="",OIT!#REF!=""),"",OIT!#REF!-OIT!#REF!)</f>
        <v>#REF!</v>
      </c>
      <c r="N308" s="9" t="e">
        <f>IF(OR(OIT!#REF!="",OIT!#REF!=""),"",OIT!#REF!-OIT!#REF!)</f>
        <v>#REF!</v>
      </c>
      <c r="O308" s="9">
        <f t="shared" si="16"/>
        <v>11183.026062393192</v>
      </c>
      <c r="P308" s="9">
        <f t="shared" si="17"/>
        <v>26365.275359363721</v>
      </c>
      <c r="Q308" s="9">
        <f t="shared" si="18"/>
        <v>14.996459450181286</v>
      </c>
      <c r="R308" s="9">
        <f t="shared" si="19"/>
        <v>149906.52400985686</v>
      </c>
    </row>
    <row r="309" spans="1:18" ht="15.5">
      <c r="A309" s="7" t="s">
        <v>16</v>
      </c>
      <c r="B309" s="7" t="s">
        <v>17</v>
      </c>
      <c r="C309" s="8">
        <v>2009</v>
      </c>
      <c r="D309" s="9">
        <v>14.825953999999999</v>
      </c>
      <c r="E309" s="9">
        <v>6.50726318359375</v>
      </c>
      <c r="F309" s="9">
        <v>1734.47</v>
      </c>
      <c r="G309" s="9">
        <v>2.6824700832366899</v>
      </c>
      <c r="H309" s="9">
        <v>169535.5</v>
      </c>
      <c r="I309" s="9">
        <v>973864.5625</v>
      </c>
      <c r="J309" s="9">
        <v>0.940299391746521</v>
      </c>
      <c r="K309" s="9">
        <v>0.528697490692139</v>
      </c>
      <c r="L309" s="9" t="e">
        <f>IF(OR(OIT!#REF!="",OIT!#REF!=""),"",OIT!#REF!-OIT!#REF!)</f>
        <v>#REF!</v>
      </c>
      <c r="M309" s="9" t="e">
        <f>IF(OR(OIT!#REF!="",OIT!#REF!=""),"",OIT!#REF!-OIT!#REF!)</f>
        <v>#REF!</v>
      </c>
      <c r="N309" s="9" t="e">
        <f>IF(OR(OIT!#REF!="",OIT!#REF!=""),"",OIT!#REF!-OIT!#REF!)</f>
        <v>#REF!</v>
      </c>
      <c r="O309" s="9">
        <f t="shared" si="16"/>
        <v>11286.652774047852</v>
      </c>
      <c r="P309" s="9">
        <f t="shared" si="17"/>
        <v>26053.272353796368</v>
      </c>
      <c r="Q309" s="9">
        <f t="shared" si="18"/>
        <v>15.020883816841092</v>
      </c>
      <c r="R309" s="9">
        <f t="shared" si="19"/>
        <v>149658.08743610187</v>
      </c>
    </row>
    <row r="310" spans="1:18" ht="15.5">
      <c r="A310" s="7" t="s">
        <v>16</v>
      </c>
      <c r="B310" s="7" t="s">
        <v>17</v>
      </c>
      <c r="C310" s="8">
        <v>2010</v>
      </c>
      <c r="D310" s="9">
        <v>15.076695000000001</v>
      </c>
      <c r="E310" s="9">
        <v>6.7334184646606401</v>
      </c>
      <c r="F310" s="9">
        <v>1719.46</v>
      </c>
      <c r="G310" s="9">
        <v>2.7050125598907502</v>
      </c>
      <c r="H310" s="9">
        <v>176366.3125</v>
      </c>
      <c r="I310" s="9">
        <v>999947.8125</v>
      </c>
      <c r="J310" s="9">
        <v>0.94431251287460305</v>
      </c>
      <c r="K310" s="9">
        <v>0.50612694025039695</v>
      </c>
      <c r="L310" s="9" t="e">
        <f>IF(OR(OIT!#REF!="",OIT!#REF!=""),"",OIT!#REF!-OIT!#REF!)</f>
        <v>#REF!</v>
      </c>
      <c r="M310" s="9" t="e">
        <f>IF(OR(OIT!#REF!="",OIT!#REF!=""),"",OIT!#REF!-OIT!#REF!)</f>
        <v>#REF!</v>
      </c>
      <c r="N310" s="9" t="e">
        <f>IF(OR(OIT!#REF!="",OIT!#REF!=""),"",OIT!#REF!-OIT!#REF!)</f>
        <v>#REF!</v>
      </c>
      <c r="O310" s="9">
        <f t="shared" si="16"/>
        <v>11577.843713245384</v>
      </c>
      <c r="P310" s="9">
        <f t="shared" si="17"/>
        <v>26192.685546818862</v>
      </c>
      <c r="Q310" s="9">
        <f t="shared" si="18"/>
        <v>15.233088031602284</v>
      </c>
      <c r="R310" s="9">
        <f t="shared" si="19"/>
        <v>148505.22327523227</v>
      </c>
    </row>
    <row r="311" spans="1:18" ht="15.5">
      <c r="A311" s="7" t="s">
        <v>16</v>
      </c>
      <c r="B311" s="7" t="s">
        <v>17</v>
      </c>
      <c r="C311" s="8">
        <v>2011</v>
      </c>
      <c r="D311" s="9">
        <v>15.326226999999999</v>
      </c>
      <c r="E311" s="9">
        <v>6.9634733200073198</v>
      </c>
      <c r="F311" s="9">
        <v>1699.53</v>
      </c>
      <c r="G311" s="9">
        <v>2.7113370895385702</v>
      </c>
      <c r="H311" s="9">
        <v>191324.78125</v>
      </c>
      <c r="I311" s="9">
        <v>1035351.0625</v>
      </c>
      <c r="J311" s="9">
        <v>0.98964667320251498</v>
      </c>
      <c r="K311" s="9">
        <v>0.50806951522827204</v>
      </c>
      <c r="L311" s="9" t="e">
        <f>IF(OR(OIT!#REF!="",OIT!#REF!=""),"",OIT!#REF!-OIT!#REF!)</f>
        <v>#REF!</v>
      </c>
      <c r="M311" s="9" t="e">
        <f>IF(OR(OIT!#REF!="",OIT!#REF!=""),"",OIT!#REF!-OIT!#REF!)</f>
        <v>#REF!</v>
      </c>
      <c r="N311" s="9" t="e">
        <f>IF(OR(OIT!#REF!="",OIT!#REF!=""),"",OIT!#REF!-OIT!#REF!)</f>
        <v>#REF!</v>
      </c>
      <c r="O311" s="9">
        <f t="shared" si="16"/>
        <v>11834.631811552041</v>
      </c>
      <c r="P311" s="9">
        <f t="shared" si="17"/>
        <v>27475.481337781428</v>
      </c>
      <c r="Q311" s="9">
        <f t="shared" si="18"/>
        <v>16.166517412332485</v>
      </c>
      <c r="R311" s="9">
        <f t="shared" si="19"/>
        <v>148683.13769871838</v>
      </c>
    </row>
    <row r="312" spans="1:18" ht="15.5">
      <c r="A312" s="7" t="s">
        <v>16</v>
      </c>
      <c r="B312" s="7" t="s">
        <v>17</v>
      </c>
      <c r="C312" s="8">
        <v>2012</v>
      </c>
      <c r="D312" s="9">
        <v>15.572194</v>
      </c>
      <c r="E312" s="9">
        <v>7.1631550788879403</v>
      </c>
      <c r="F312" s="9">
        <v>1664.73</v>
      </c>
      <c r="G312" s="9">
        <v>2.7176766395568799</v>
      </c>
      <c r="H312" s="9">
        <v>202389.5</v>
      </c>
      <c r="I312" s="9">
        <v>1078181.875</v>
      </c>
      <c r="J312" s="9">
        <v>1.01732277870178</v>
      </c>
      <c r="K312" s="9">
        <v>0.52529519796371504</v>
      </c>
      <c r="L312" s="9" t="e">
        <f>IF(OR(OIT!#REF!="",OIT!#REF!=""),"",OIT!#REF!-OIT!#REF!)</f>
        <v>#REF!</v>
      </c>
      <c r="M312" s="9" t="e">
        <f>IF(OR(OIT!#REF!="",OIT!#REF!=""),"",OIT!#REF!-OIT!#REF!)</f>
        <v>#REF!</v>
      </c>
      <c r="N312" s="9" t="e">
        <f>IF(OR(OIT!#REF!="",OIT!#REF!=""),"",OIT!#REF!-OIT!#REF!)</f>
        <v>#REF!</v>
      </c>
      <c r="O312" s="9">
        <f t="shared" si="16"/>
        <v>11924.719154477121</v>
      </c>
      <c r="P312" s="9">
        <f t="shared" si="17"/>
        <v>28254.239615236755</v>
      </c>
      <c r="Q312" s="9">
        <f t="shared" si="18"/>
        <v>16.97226554170151</v>
      </c>
      <c r="R312" s="9">
        <f t="shared" si="19"/>
        <v>150517.73459124728</v>
      </c>
    </row>
    <row r="313" spans="1:18" ht="15.5">
      <c r="A313" s="7" t="s">
        <v>16</v>
      </c>
      <c r="B313" s="7" t="s">
        <v>17</v>
      </c>
      <c r="C313" s="8">
        <v>2013</v>
      </c>
      <c r="D313" s="9">
        <v>15.807128000000001</v>
      </c>
      <c r="E313" s="9">
        <v>7.3564791679382298</v>
      </c>
      <c r="F313" s="9">
        <v>1661.25</v>
      </c>
      <c r="G313" s="9">
        <v>2.7240309715271001</v>
      </c>
      <c r="H313" s="9">
        <v>216984.265625</v>
      </c>
      <c r="I313" s="9">
        <v>1135102.375</v>
      </c>
      <c r="J313" s="9">
        <v>1.0453028678894001</v>
      </c>
      <c r="K313" s="9">
        <v>0.53578311204910301</v>
      </c>
      <c r="L313" s="9" t="e">
        <f>IF(OR(OIT!#REF!="",OIT!#REF!=""),"",OIT!#REF!-OIT!#REF!)</f>
        <v>#REF!</v>
      </c>
      <c r="M313" s="9" t="e">
        <f>IF(OR(OIT!#REF!="",OIT!#REF!=""),"",OIT!#REF!-OIT!#REF!)</f>
        <v>#REF!</v>
      </c>
      <c r="N313" s="9" t="e">
        <f>IF(OR(OIT!#REF!="",OIT!#REF!=""),"",OIT!#REF!-OIT!#REF!)</f>
        <v>#REF!</v>
      </c>
      <c r="O313" s="9">
        <f t="shared" si="16"/>
        <v>12220.951017737385</v>
      </c>
      <c r="P313" s="9">
        <f t="shared" si="17"/>
        <v>29495.667787748698</v>
      </c>
      <c r="Q313" s="9">
        <f t="shared" si="18"/>
        <v>17.755104763129388</v>
      </c>
      <c r="R313" s="9">
        <f t="shared" si="19"/>
        <v>154299.67911105097</v>
      </c>
    </row>
    <row r="314" spans="1:18" ht="15.5">
      <c r="A314" s="7" t="s">
        <v>16</v>
      </c>
      <c r="B314" s="7" t="s">
        <v>17</v>
      </c>
      <c r="C314" s="8">
        <v>2014</v>
      </c>
      <c r="D314" s="9">
        <v>16.035124</v>
      </c>
      <c r="E314" s="9">
        <v>7.50406837463379</v>
      </c>
      <c r="F314" s="9">
        <v>1649.27</v>
      </c>
      <c r="G314" s="9">
        <v>2.7304000854492201</v>
      </c>
      <c r="H314" s="9">
        <v>226154.1875</v>
      </c>
      <c r="I314" s="9">
        <v>1190608.25</v>
      </c>
      <c r="J314" s="9">
        <v>1.0543248653411901</v>
      </c>
      <c r="K314" s="9">
        <v>0.53873014450073198</v>
      </c>
      <c r="L314" s="9" t="e">
        <f>IF(OR(OIT!#REF!="",OIT!#REF!=""),"",OIT!#REF!-OIT!#REF!)</f>
        <v>#REF!</v>
      </c>
      <c r="M314" s="9" t="e">
        <f>IF(OR(OIT!#REF!="",OIT!#REF!=""),"",OIT!#REF!-OIT!#REF!)</f>
        <v>#REF!</v>
      </c>
      <c r="N314" s="9" t="e">
        <f>IF(OR(OIT!#REF!="",OIT!#REF!=""),"",OIT!#REF!-OIT!#REF!)</f>
        <v>#REF!</v>
      </c>
      <c r="O314" s="9">
        <f t="shared" si="16"/>
        <v>12376.23484823227</v>
      </c>
      <c r="P314" s="9">
        <f t="shared" si="17"/>
        <v>30137.543557635385</v>
      </c>
      <c r="Q314" s="9">
        <f t="shared" si="18"/>
        <v>18.273262448013597</v>
      </c>
      <c r="R314" s="9">
        <f t="shared" si="19"/>
        <v>158661.70063490441</v>
      </c>
    </row>
    <row r="315" spans="1:18" ht="15.5">
      <c r="A315" s="7" t="s">
        <v>16</v>
      </c>
      <c r="B315" s="7" t="s">
        <v>17</v>
      </c>
      <c r="C315" s="8">
        <v>2015</v>
      </c>
      <c r="D315" s="9">
        <v>16.266224999999999</v>
      </c>
      <c r="E315" s="9">
        <v>7.6652374267578098</v>
      </c>
      <c r="F315" s="9">
        <v>1620.2</v>
      </c>
      <c r="G315" s="9">
        <v>2.73678398132324</v>
      </c>
      <c r="H315" s="9">
        <v>226424.859375</v>
      </c>
      <c r="I315" s="9">
        <v>1236218.375</v>
      </c>
      <c r="J315" s="9">
        <v>1.03434669971466</v>
      </c>
      <c r="K315" s="9">
        <v>0.57231014966964699</v>
      </c>
      <c r="L315" s="9" t="e">
        <f>IF(OR(OIT!#REF!="",OIT!#REF!=""),"",OIT!#REF!-OIT!#REF!)</f>
        <v>#REF!</v>
      </c>
      <c r="M315" s="9" t="e">
        <f>IF(OR(OIT!#REF!="",OIT!#REF!=""),"",OIT!#REF!-OIT!#REF!)</f>
        <v>#REF!</v>
      </c>
      <c r="N315" s="9" t="e">
        <f>IF(OR(OIT!#REF!="",OIT!#REF!=""),"",OIT!#REF!-OIT!#REF!)</f>
        <v>#REF!</v>
      </c>
      <c r="O315" s="9">
        <f t="shared" si="16"/>
        <v>12419.217678833003</v>
      </c>
      <c r="P315" s="9">
        <f t="shared" si="17"/>
        <v>29539.184081186595</v>
      </c>
      <c r="Q315" s="9">
        <f t="shared" si="18"/>
        <v>18.231813406484754</v>
      </c>
      <c r="R315" s="9">
        <f t="shared" si="19"/>
        <v>161275.94047962676</v>
      </c>
    </row>
    <row r="316" spans="1:18" ht="15.5">
      <c r="A316" s="7" t="s">
        <v>16</v>
      </c>
      <c r="B316" s="7" t="s">
        <v>17</v>
      </c>
      <c r="C316" s="8">
        <v>2016</v>
      </c>
      <c r="D316" s="9">
        <v>16.505139</v>
      </c>
      <c r="E316" s="9">
        <v>7.7544860839843803</v>
      </c>
      <c r="F316" s="9">
        <v>1572.31</v>
      </c>
      <c r="G316" s="9">
        <v>2.7431828975677499</v>
      </c>
      <c r="H316" s="9">
        <v>224867.15625</v>
      </c>
      <c r="I316" s="9">
        <v>1265880.5</v>
      </c>
      <c r="J316" s="9">
        <v>1.0294263362884499</v>
      </c>
      <c r="K316" s="9">
        <v>0.56251281499862704</v>
      </c>
      <c r="L316" s="9" t="e">
        <f>IF(OR(OIT!#REF!="",OIT!#REF!=""),"",OIT!#REF!-OIT!#REF!)</f>
        <v>#REF!</v>
      </c>
      <c r="M316" s="9" t="e">
        <f>IF(OR(OIT!#REF!="",OIT!#REF!=""),"",OIT!#REF!-OIT!#REF!)</f>
        <v>#REF!</v>
      </c>
      <c r="N316" s="9" t="e">
        <f>IF(OR(OIT!#REF!="",OIT!#REF!=""),"",OIT!#REF!-OIT!#REF!)</f>
        <v>#REF!</v>
      </c>
      <c r="O316" s="9">
        <f t="shared" si="16"/>
        <v>12192.45601470948</v>
      </c>
      <c r="P316" s="9">
        <f t="shared" si="17"/>
        <v>28998.331264585831</v>
      </c>
      <c r="Q316" s="9">
        <f t="shared" si="18"/>
        <v>18.443138607899101</v>
      </c>
      <c r="R316" s="9">
        <f t="shared" si="19"/>
        <v>163244.92510399478</v>
      </c>
    </row>
    <row r="317" spans="1:18" ht="15.5">
      <c r="A317" s="7" t="s">
        <v>16</v>
      </c>
      <c r="B317" s="7" t="s">
        <v>17</v>
      </c>
      <c r="C317" s="8">
        <v>2017</v>
      </c>
      <c r="D317" s="9">
        <v>16.759519000000001</v>
      </c>
      <c r="E317" s="9">
        <v>7.9812736511230504</v>
      </c>
      <c r="F317" s="9">
        <v>1566.36</v>
      </c>
      <c r="G317" s="9">
        <v>2.7495965957641602</v>
      </c>
      <c r="H317" s="9">
        <v>238292.625</v>
      </c>
      <c r="I317" s="9">
        <v>1305187.25</v>
      </c>
      <c r="J317" s="9">
        <v>1.05957639217377</v>
      </c>
      <c r="K317" s="9">
        <v>0.55839174985885598</v>
      </c>
      <c r="L317" s="9" t="e">
        <f>IF(OR(OIT!#REF!="",OIT!#REF!=""),"",OIT!#REF!-OIT!#REF!)</f>
        <v>#REF!</v>
      </c>
      <c r="M317" s="9" t="e">
        <f>IF(OR(OIT!#REF!="",OIT!#REF!=""),"",OIT!#REF!-OIT!#REF!)</f>
        <v>#REF!</v>
      </c>
      <c r="N317" s="9" t="e">
        <f>IF(OR(OIT!#REF!="",OIT!#REF!=""),"",OIT!#REF!-OIT!#REF!)</f>
        <v>#REF!</v>
      </c>
      <c r="O317" s="9">
        <f t="shared" si="16"/>
        <v>12501.547796173101</v>
      </c>
      <c r="P317" s="9">
        <f t="shared" si="17"/>
        <v>29856.465949700858</v>
      </c>
      <c r="Q317" s="9">
        <f t="shared" si="18"/>
        <v>19.061049790406329</v>
      </c>
      <c r="R317" s="9">
        <f t="shared" si="19"/>
        <v>163531.19903567599</v>
      </c>
    </row>
    <row r="318" spans="1:18" ht="15.5">
      <c r="A318" s="7" t="s">
        <v>16</v>
      </c>
      <c r="B318" s="7" t="s">
        <v>17</v>
      </c>
      <c r="C318" s="8">
        <v>2018</v>
      </c>
      <c r="D318" s="9">
        <v>17.049547</v>
      </c>
      <c r="E318" s="9">
        <v>8.1686477661132795</v>
      </c>
      <c r="F318" s="9">
        <v>1568.14</v>
      </c>
      <c r="G318" s="9">
        <v>2.7560255527496298</v>
      </c>
      <c r="H318" s="9">
        <v>240781.09375</v>
      </c>
      <c r="I318" s="9">
        <v>1342386.375</v>
      </c>
      <c r="J318" s="9">
        <v>1.04063904285431</v>
      </c>
      <c r="K318" s="9">
        <v>0.56266587972641002</v>
      </c>
      <c r="L318" s="9" t="e">
        <f>IF(OR(OIT!#REF!="",OIT!#REF!=""),"",OIT!#REF!-OIT!#REF!)</f>
        <v>#REF!</v>
      </c>
      <c r="M318" s="9" t="e">
        <f>IF(OR(OIT!#REF!="",OIT!#REF!=""),"",OIT!#REF!-OIT!#REF!)</f>
        <v>#REF!</v>
      </c>
      <c r="N318" s="9" t="e">
        <f>IF(OR(OIT!#REF!="",OIT!#REF!=""),"",OIT!#REF!-OIT!#REF!)</f>
        <v>#REF!</v>
      </c>
      <c r="O318" s="9">
        <f t="shared" si="16"/>
        <v>12809.583307952878</v>
      </c>
      <c r="P318" s="9">
        <f t="shared" si="17"/>
        <v>29476.248779982092</v>
      </c>
      <c r="Q318" s="9">
        <f t="shared" si="18"/>
        <v>18.796949749373201</v>
      </c>
      <c r="R318" s="9">
        <f t="shared" si="19"/>
        <v>164333.97710802755</v>
      </c>
    </row>
    <row r="319" spans="1:18" ht="15.5">
      <c r="A319" s="7" t="s">
        <v>16</v>
      </c>
      <c r="B319" s="7" t="s">
        <v>17</v>
      </c>
      <c r="C319" s="8">
        <v>2019</v>
      </c>
      <c r="D319" s="9">
        <v>17.340021</v>
      </c>
      <c r="E319" s="9">
        <v>8.2466354370117205</v>
      </c>
      <c r="F319" s="9">
        <v>1551.64</v>
      </c>
      <c r="G319" s="9">
        <v>2.7624695301055899</v>
      </c>
      <c r="H319" s="9">
        <v>241179.375</v>
      </c>
      <c r="I319" s="9">
        <v>1376518.25</v>
      </c>
      <c r="J319" s="9">
        <v>1.0315526723861701</v>
      </c>
      <c r="K319" s="9">
        <v>0.57562297582626298</v>
      </c>
      <c r="L319" s="9" t="e">
        <f>IF(OR(OIT!#REF!="",OIT!#REF!=""),"",OIT!#REF!-OIT!#REF!)</f>
        <v>#REF!</v>
      </c>
      <c r="M319" s="9" t="e">
        <f>IF(OR(OIT!#REF!="",OIT!#REF!=""),"",OIT!#REF!-OIT!#REF!)</f>
        <v>#REF!</v>
      </c>
      <c r="N319" s="9" t="e">
        <f>IF(OR(OIT!#REF!="",OIT!#REF!=""),"",OIT!#REF!-OIT!#REF!)</f>
        <v>#REF!</v>
      </c>
      <c r="O319" s="9">
        <f t="shared" si="16"/>
        <v>12795.809409484868</v>
      </c>
      <c r="P319" s="9">
        <f t="shared" si="17"/>
        <v>29245.790824893626</v>
      </c>
      <c r="Q319" s="9">
        <f t="shared" si="18"/>
        <v>18.848309417708759</v>
      </c>
      <c r="R319" s="9">
        <f t="shared" si="19"/>
        <v>166918.77075371236</v>
      </c>
    </row>
    <row r="320" spans="1:18" ht="15.5">
      <c r="A320" s="7" t="s">
        <v>16</v>
      </c>
      <c r="B320" s="7" t="s">
        <v>17</v>
      </c>
      <c r="C320" s="8">
        <v>2020</v>
      </c>
      <c r="D320" s="9">
        <v>17.546064999999999</v>
      </c>
      <c r="E320" s="9">
        <v>7.4028811454773003</v>
      </c>
      <c r="F320" s="9">
        <v>1483.37</v>
      </c>
      <c r="G320" s="9">
        <v>2.7689285278320299</v>
      </c>
      <c r="H320" s="9">
        <v>218882.109375</v>
      </c>
      <c r="I320" s="9">
        <v>1391116.5</v>
      </c>
      <c r="J320" s="9">
        <v>1.0199772119522099</v>
      </c>
      <c r="K320" s="9">
        <v>0.59630340337753296</v>
      </c>
      <c r="L320" s="9" t="e">
        <f>IF(OR(OIT!#REF!="",OIT!#REF!=""),"",OIT!#REF!-OIT!#REF!)</f>
        <v>#REF!</v>
      </c>
      <c r="M320" s="9" t="e">
        <f>IF(OR(OIT!#REF!="",OIT!#REF!=""),"",OIT!#REF!-OIT!#REF!)</f>
        <v>#REF!</v>
      </c>
      <c r="N320" s="9" t="e">
        <f>IF(OR(OIT!#REF!="",OIT!#REF!=""),"",OIT!#REF!-OIT!#REF!)</f>
        <v>#REF!</v>
      </c>
      <c r="O320" s="9">
        <f t="shared" si="16"/>
        <v>10981.211804766663</v>
      </c>
      <c r="P320" s="9">
        <f t="shared" si="17"/>
        <v>29567.151636457562</v>
      </c>
      <c r="Q320" s="9">
        <f t="shared" si="18"/>
        <v>19.932418504120729</v>
      </c>
      <c r="R320" s="9">
        <f t="shared" si="19"/>
        <v>187915.55242648811</v>
      </c>
    </row>
    <row r="321" spans="1:18" ht="15.5">
      <c r="A321" s="7" t="s">
        <v>16</v>
      </c>
      <c r="B321" s="7" t="s">
        <v>17</v>
      </c>
      <c r="C321" s="8">
        <v>2021</v>
      </c>
      <c r="D321" s="9">
        <v>17.682454</v>
      </c>
      <c r="E321" s="9">
        <v>8.2542037963867205</v>
      </c>
      <c r="F321" s="9">
        <v>1570.01</v>
      </c>
      <c r="G321" s="9">
        <v>2.8261821269989</v>
      </c>
      <c r="H321" s="9">
        <v>240372.859375</v>
      </c>
      <c r="I321" s="9">
        <v>1414991.875</v>
      </c>
      <c r="J321" s="9">
        <v>1</v>
      </c>
      <c r="K321" s="9">
        <v>0.54358106851577803</v>
      </c>
      <c r="L321" s="9" t="e">
        <f>IF(OR(OIT!#REF!="",OIT!#REF!=""),"",OIT!#REF!-OIT!#REF!)</f>
        <v>#REF!</v>
      </c>
      <c r="M321" s="9" t="e">
        <f>IF(OR(OIT!#REF!="",OIT!#REF!=""),"",OIT!#REF!-OIT!#REF!)</f>
        <v>#REF!</v>
      </c>
      <c r="N321" s="9" t="e">
        <f>IF(OR(OIT!#REF!="",OIT!#REF!=""),"",OIT!#REF!-OIT!#REF!)</f>
        <v>#REF!</v>
      </c>
      <c r="O321" s="9">
        <f t="shared" si="16"/>
        <v>12959.182502365114</v>
      </c>
      <c r="P321" s="9">
        <f t="shared" si="17"/>
        <v>29121.265394516096</v>
      </c>
      <c r="Q321" s="9">
        <f t="shared" si="18"/>
        <v>18.548458541357125</v>
      </c>
      <c r="R321" s="9">
        <f t="shared" si="19"/>
        <v>171426.81594794316</v>
      </c>
    </row>
    <row r="322" spans="1:18" ht="15.5">
      <c r="A322" s="7" t="s">
        <v>16</v>
      </c>
      <c r="B322" s="7" t="s">
        <v>17</v>
      </c>
      <c r="C322" s="8">
        <v>2022</v>
      </c>
      <c r="D322" s="9">
        <v>17.823896999999999</v>
      </c>
      <c r="E322" s="9">
        <v>8.4446649551391602</v>
      </c>
      <c r="F322" s="9">
        <v>1592.91</v>
      </c>
      <c r="G322" s="9">
        <v>2.7983963489532502</v>
      </c>
      <c r="H322" s="9">
        <v>255242.65625</v>
      </c>
      <c r="I322" s="9">
        <v>1444966.75</v>
      </c>
      <c r="J322" s="9">
        <v>1.03527235984802</v>
      </c>
      <c r="K322" s="9">
        <v>0.52958768606185902</v>
      </c>
      <c r="L322" s="9" t="e">
        <f>IF(OR(OIT!#REF!="",OIT!#REF!=""),"",OIT!#REF!-OIT!#REF!)</f>
        <v>#REF!</v>
      </c>
      <c r="M322" s="9" t="e">
        <f>IF(OR(OIT!#REF!="",OIT!#REF!=""),"",OIT!#REF!-OIT!#REF!)</f>
        <v>#REF!</v>
      </c>
      <c r="N322" s="9" t="e">
        <f>IF(OR(OIT!#REF!="",OIT!#REF!=""),"",OIT!#REF!-OIT!#REF!)</f>
        <v>#REF!</v>
      </c>
      <c r="O322" s="9">
        <f t="shared" ref="O322:O385" si="20">IFERROR(E322*F322,"")</f>
        <v>13451.59125369072</v>
      </c>
      <c r="P322" s="9">
        <f t="shared" ref="P322:P385" si="21">IFERROR(H322/E322,"")</f>
        <v>30225.314752679118</v>
      </c>
      <c r="Q322" s="9">
        <f t="shared" ref="Q322:Q385" si="22">IFERROR(H322/(E322*F322),"")</f>
        <v>18.974904264948503</v>
      </c>
      <c r="R322" s="9">
        <f t="shared" ref="R322:R385" si="23">IFERROR(I322/E322,"")</f>
        <v>171110.0153382211</v>
      </c>
    </row>
    <row r="323" spans="1:18" ht="15.5">
      <c r="A323" s="7" t="s">
        <v>16</v>
      </c>
      <c r="B323" s="7" t="s">
        <v>17</v>
      </c>
      <c r="C323" s="8">
        <v>2023</v>
      </c>
      <c r="D323" s="9">
        <v>17.980083</v>
      </c>
      <c r="E323" s="9">
        <v>8.5159568786621094</v>
      </c>
      <c r="F323" s="9">
        <v>1593.77</v>
      </c>
      <c r="G323" s="9">
        <v>2.8253805637359601</v>
      </c>
      <c r="H323" s="9">
        <v>261254.1875</v>
      </c>
      <c r="I323" s="9">
        <v>1474124.875</v>
      </c>
      <c r="J323" s="9">
        <v>1.0388489961624101</v>
      </c>
      <c r="K323" s="9">
        <v>0.52958768606185902</v>
      </c>
      <c r="L323" s="9" t="e">
        <f>IF(OR(OIT!#REF!="",OIT!#REF!=""),"",OIT!#REF!-OIT!#REF!)</f>
        <v>#REF!</v>
      </c>
      <c r="M323" s="9" t="e">
        <f>IF(OR(OIT!#REF!="",OIT!#REF!=""),"",OIT!#REF!-OIT!#REF!)</f>
        <v>#REF!</v>
      </c>
      <c r="N323" s="9" t="e">
        <f>IF(OR(OIT!#REF!="",OIT!#REF!=""),"",OIT!#REF!-OIT!#REF!)</f>
        <v>#REF!</v>
      </c>
      <c r="O323" s="9">
        <f t="shared" si="20"/>
        <v>13572.47659450531</v>
      </c>
      <c r="P323" s="9">
        <f t="shared" si="21"/>
        <v>30678.195207235956</v>
      </c>
      <c r="Q323" s="9">
        <f t="shared" si="22"/>
        <v>19.248822105596137</v>
      </c>
      <c r="R323" s="9">
        <f t="shared" si="23"/>
        <v>173101.49593331324</v>
      </c>
    </row>
    <row r="324" spans="1:18" ht="15.5">
      <c r="A324" s="7" t="s">
        <v>16</v>
      </c>
      <c r="B324" s="7" t="s">
        <v>17</v>
      </c>
      <c r="C324" s="8">
        <v>2024</v>
      </c>
      <c r="D324" s="9"/>
      <c r="E324" s="9"/>
      <c r="F324" s="9"/>
      <c r="G324" s="9"/>
      <c r="H324" s="9"/>
      <c r="I324" s="9"/>
      <c r="J324" s="9"/>
      <c r="K324" s="9"/>
      <c r="L324" s="9" t="e">
        <f>IF(OR(OIT!#REF!="",OIT!#REF!=""),"",OIT!#REF!-OIT!#REF!)</f>
        <v>#REF!</v>
      </c>
      <c r="M324" s="9" t="e">
        <f>IF(OR(OIT!#REF!="",OIT!#REF!=""),"",OIT!#REF!-OIT!#REF!)</f>
        <v>#REF!</v>
      </c>
      <c r="N324" s="9" t="e">
        <f>IF(OR(OIT!#REF!="",OIT!#REF!=""),"",OIT!#REF!-OIT!#REF!)</f>
        <v>#REF!</v>
      </c>
      <c r="O324" s="9">
        <f t="shared" si="20"/>
        <v>0</v>
      </c>
      <c r="P324" s="9" t="str">
        <f t="shared" si="21"/>
        <v/>
      </c>
      <c r="Q324" s="9" t="str">
        <f t="shared" si="22"/>
        <v/>
      </c>
      <c r="R324" s="9" t="str">
        <f t="shared" si="23"/>
        <v/>
      </c>
    </row>
    <row r="325" spans="1:18" ht="15.5">
      <c r="A325" s="7" t="s">
        <v>16</v>
      </c>
      <c r="B325" s="7" t="s">
        <v>17</v>
      </c>
      <c r="C325" s="8">
        <v>2025</v>
      </c>
      <c r="D325" s="9"/>
      <c r="E325" s="9"/>
      <c r="F325" s="9"/>
      <c r="G325" s="9"/>
      <c r="H325" s="9"/>
      <c r="I325" s="9"/>
      <c r="J325" s="9"/>
      <c r="K325" s="9"/>
      <c r="L325" s="9" t="e">
        <f>IF(OR(OIT!#REF!="",OIT!#REF!=""),"",OIT!#REF!-OIT!#REF!)</f>
        <v>#REF!</v>
      </c>
      <c r="M325" s="9" t="e">
        <f>IF(OR(OIT!#REF!="",OIT!#REF!=""),"",OIT!#REF!-OIT!#REF!)</f>
        <v>#REF!</v>
      </c>
      <c r="N325" s="9" t="e">
        <f>IF(OR(OIT!#REF!="",OIT!#REF!=""),"",OIT!#REF!-OIT!#REF!)</f>
        <v>#REF!</v>
      </c>
      <c r="O325" s="9">
        <f t="shared" si="20"/>
        <v>0</v>
      </c>
      <c r="P325" s="9" t="str">
        <f t="shared" si="21"/>
        <v/>
      </c>
      <c r="Q325" s="9" t="str">
        <f t="shared" si="22"/>
        <v/>
      </c>
      <c r="R325" s="9" t="str">
        <f t="shared" si="23"/>
        <v/>
      </c>
    </row>
    <row r="326" spans="1:18" ht="15.5">
      <c r="A326" s="7" t="s">
        <v>18</v>
      </c>
      <c r="B326" s="7" t="s">
        <v>19</v>
      </c>
      <c r="C326" s="8">
        <v>1990</v>
      </c>
      <c r="D326" s="9">
        <v>5.3997260000000002</v>
      </c>
      <c r="E326" s="9">
        <v>1.6630328893661499</v>
      </c>
      <c r="F326" s="9"/>
      <c r="G326" s="9">
        <v>1.63442039489746</v>
      </c>
      <c r="H326" s="9">
        <v>32092.1953125</v>
      </c>
      <c r="I326" s="9">
        <v>114495.09375</v>
      </c>
      <c r="J326" s="9">
        <v>1.27008509635925</v>
      </c>
      <c r="K326" s="9">
        <v>0.47957736253738398</v>
      </c>
      <c r="L326" s="9" t="e">
        <f>IF(OR(OIT!#REF!="",OIT!#REF!=""),"",OIT!#REF!-OIT!#REF!)</f>
        <v>#REF!</v>
      </c>
      <c r="M326" s="9" t="e">
        <f>IF(OR(OIT!#REF!="",OIT!#REF!=""),"",OIT!#REF!-OIT!#REF!)</f>
        <v>#REF!</v>
      </c>
      <c r="N326" s="9" t="e">
        <f>IF(OR(OIT!#REF!="",OIT!#REF!=""),"",OIT!#REF!-OIT!#REF!)</f>
        <v>#REF!</v>
      </c>
      <c r="O326" s="9">
        <f t="shared" si="20"/>
        <v>0</v>
      </c>
      <c r="P326" s="9">
        <f t="shared" si="21"/>
        <v>19297.390639539099</v>
      </c>
      <c r="Q326" s="9" t="str">
        <f t="shared" si="22"/>
        <v/>
      </c>
      <c r="R326" s="9">
        <f t="shared" si="23"/>
        <v>68847.161401383215</v>
      </c>
    </row>
    <row r="327" spans="1:18" ht="15.5">
      <c r="A327" s="7" t="s">
        <v>18</v>
      </c>
      <c r="B327" s="7" t="s">
        <v>19</v>
      </c>
      <c r="C327" s="8">
        <v>1991</v>
      </c>
      <c r="D327" s="9">
        <v>5.4950770000000002</v>
      </c>
      <c r="E327" s="9">
        <v>1.7225527763366699</v>
      </c>
      <c r="F327" s="9"/>
      <c r="G327" s="9">
        <v>1.66266322135925</v>
      </c>
      <c r="H327" s="9">
        <v>32571.767578125</v>
      </c>
      <c r="I327" s="9">
        <v>117507.921875</v>
      </c>
      <c r="J327" s="9">
        <v>1.2445702552795399</v>
      </c>
      <c r="K327" s="9">
        <v>0.47957736253738398</v>
      </c>
      <c r="L327" s="9" t="e">
        <f>IF(OR(OIT!#REF!="",OIT!#REF!=""),"",OIT!#REF!-OIT!#REF!)</f>
        <v>#REF!</v>
      </c>
      <c r="M327" s="9" t="e">
        <f>IF(OR(OIT!#REF!="",OIT!#REF!=""),"",OIT!#REF!-OIT!#REF!)</f>
        <v>#REF!</v>
      </c>
      <c r="N327" s="9" t="e">
        <f>IF(OR(OIT!#REF!="",OIT!#REF!=""),"",OIT!#REF!-OIT!#REF!)</f>
        <v>#REF!</v>
      </c>
      <c r="O327" s="9">
        <f t="shared" si="20"/>
        <v>0</v>
      </c>
      <c r="P327" s="9">
        <f t="shared" si="21"/>
        <v>18909.009944760557</v>
      </c>
      <c r="Q327" s="9" t="str">
        <f t="shared" si="22"/>
        <v/>
      </c>
      <c r="R327" s="9">
        <f t="shared" si="23"/>
        <v>68217.312984106378</v>
      </c>
    </row>
    <row r="328" spans="1:18" ht="15.5">
      <c r="A328" s="7" t="s">
        <v>18</v>
      </c>
      <c r="B328" s="7" t="s">
        <v>19</v>
      </c>
      <c r="C328" s="8">
        <v>1992</v>
      </c>
      <c r="D328" s="9">
        <v>5.5856089999999998</v>
      </c>
      <c r="E328" s="9">
        <v>1.78158211708069</v>
      </c>
      <c r="F328" s="9"/>
      <c r="G328" s="9">
        <v>1.69139409065247</v>
      </c>
      <c r="H328" s="9">
        <v>34857.66796875</v>
      </c>
      <c r="I328" s="9">
        <v>122114.8671875</v>
      </c>
      <c r="J328" s="9">
        <v>1.2763975858688399</v>
      </c>
      <c r="K328" s="9">
        <v>0.47957736253738398</v>
      </c>
      <c r="L328" s="9" t="e">
        <f>IF(OR(OIT!#REF!="",OIT!#REF!=""),"",OIT!#REF!-OIT!#REF!)</f>
        <v>#REF!</v>
      </c>
      <c r="M328" s="9" t="e">
        <f>IF(OR(OIT!#REF!="",OIT!#REF!=""),"",OIT!#REF!-OIT!#REF!)</f>
        <v>#REF!</v>
      </c>
      <c r="N328" s="9" t="e">
        <f>IF(OR(OIT!#REF!="",OIT!#REF!=""),"",OIT!#REF!-OIT!#REF!)</f>
        <v>#REF!</v>
      </c>
      <c r="O328" s="9">
        <f t="shared" si="20"/>
        <v>0</v>
      </c>
      <c r="P328" s="9">
        <f t="shared" si="21"/>
        <v>19565.569071757389</v>
      </c>
      <c r="Q328" s="9" t="str">
        <f t="shared" si="22"/>
        <v/>
      </c>
      <c r="R328" s="9">
        <f t="shared" si="23"/>
        <v>68542.934965915614</v>
      </c>
    </row>
    <row r="329" spans="1:18" ht="15.5">
      <c r="A329" s="7" t="s">
        <v>18</v>
      </c>
      <c r="B329" s="7" t="s">
        <v>19</v>
      </c>
      <c r="C329" s="8">
        <v>1993</v>
      </c>
      <c r="D329" s="9">
        <v>5.6599570000000003</v>
      </c>
      <c r="E329" s="9">
        <v>1.8688999414444001</v>
      </c>
      <c r="F329" s="9"/>
      <c r="G329" s="9">
        <v>1.71779084205627</v>
      </c>
      <c r="H329" s="9">
        <v>36886.1171875</v>
      </c>
      <c r="I329" s="9">
        <v>127913.9375</v>
      </c>
      <c r="J329" s="9">
        <v>1.26993143558502</v>
      </c>
      <c r="K329" s="9">
        <v>0.47957736253738398</v>
      </c>
      <c r="L329" s="9" t="e">
        <f>IF(OR(OIT!#REF!="",OIT!#REF!=""),"",OIT!#REF!-OIT!#REF!)</f>
        <v>#REF!</v>
      </c>
      <c r="M329" s="9" t="e">
        <f>IF(OR(OIT!#REF!="",OIT!#REF!=""),"",OIT!#REF!-OIT!#REF!)</f>
        <v>#REF!</v>
      </c>
      <c r="N329" s="9" t="e">
        <f>IF(OR(OIT!#REF!="",OIT!#REF!=""),"",OIT!#REF!-OIT!#REF!)</f>
        <v>#REF!</v>
      </c>
      <c r="O329" s="9">
        <f t="shared" si="20"/>
        <v>0</v>
      </c>
      <c r="P329" s="9">
        <f t="shared" si="21"/>
        <v>19736.806861362602</v>
      </c>
      <c r="Q329" s="9" t="str">
        <f t="shared" si="22"/>
        <v/>
      </c>
      <c r="R329" s="9">
        <f t="shared" si="23"/>
        <v>68443.438122824431</v>
      </c>
    </row>
    <row r="330" spans="1:18" ht="15.5">
      <c r="A330" s="7" t="s">
        <v>18</v>
      </c>
      <c r="B330" s="7" t="s">
        <v>19</v>
      </c>
      <c r="C330" s="8">
        <v>1994</v>
      </c>
      <c r="D330" s="9">
        <v>5.7141289999999998</v>
      </c>
      <c r="E330" s="9">
        <v>1.95099997520447</v>
      </c>
      <c r="F330" s="9"/>
      <c r="G330" s="9">
        <v>1.74011695384979</v>
      </c>
      <c r="H330" s="9">
        <v>38616</v>
      </c>
      <c r="I330" s="9">
        <v>134696.90625</v>
      </c>
      <c r="J330" s="9">
        <v>1.2507133483886701</v>
      </c>
      <c r="K330" s="9">
        <v>0.47957736253738398</v>
      </c>
      <c r="L330" s="9" t="e">
        <f>IF(OR(OIT!#REF!="",OIT!#REF!=""),"",OIT!#REF!-OIT!#REF!)</f>
        <v>#REF!</v>
      </c>
      <c r="M330" s="9" t="e">
        <f>IF(OR(OIT!#REF!="",OIT!#REF!=""),"",OIT!#REF!-OIT!#REF!)</f>
        <v>#REF!</v>
      </c>
      <c r="N330" s="9" t="e">
        <f>IF(OR(OIT!#REF!="",OIT!#REF!=""),"",OIT!#REF!-OIT!#REF!)</f>
        <v>#REF!</v>
      </c>
      <c r="O330" s="9">
        <f t="shared" si="20"/>
        <v>0</v>
      </c>
      <c r="P330" s="9">
        <f t="shared" si="21"/>
        <v>19792.926955805287</v>
      </c>
      <c r="Q330" s="9" t="str">
        <f t="shared" si="22"/>
        <v/>
      </c>
      <c r="R330" s="9">
        <f t="shared" si="23"/>
        <v>69039.932322850698</v>
      </c>
    </row>
    <row r="331" spans="1:18" ht="15.5">
      <c r="A331" s="7" t="s">
        <v>18</v>
      </c>
      <c r="B331" s="7" t="s">
        <v>19</v>
      </c>
      <c r="C331" s="8">
        <v>1995</v>
      </c>
      <c r="D331" s="9">
        <v>5.7621310000000001</v>
      </c>
      <c r="E331" s="9">
        <v>1.97301685810089</v>
      </c>
      <c r="F331" s="9"/>
      <c r="G331" s="9">
        <v>1.76273334026337</v>
      </c>
      <c r="H331" s="9">
        <v>40444.44921875</v>
      </c>
      <c r="I331" s="9">
        <v>142698.796875</v>
      </c>
      <c r="J331" s="9">
        <v>1.2507282495498699</v>
      </c>
      <c r="K331" s="9">
        <v>0.47957736253738398</v>
      </c>
      <c r="L331" s="9" t="e">
        <f>IF(OR(OIT!#REF!="",OIT!#REF!=""),"",OIT!#REF!-OIT!#REF!)</f>
        <v>#REF!</v>
      </c>
      <c r="M331" s="9" t="e">
        <f>IF(OR(OIT!#REF!="",OIT!#REF!=""),"",OIT!#REF!-OIT!#REF!)</f>
        <v>#REF!</v>
      </c>
      <c r="N331" s="9" t="e">
        <f>IF(OR(OIT!#REF!="",OIT!#REF!=""),"",OIT!#REF!-OIT!#REF!)</f>
        <v>#REF!</v>
      </c>
      <c r="O331" s="9">
        <f t="shared" si="20"/>
        <v>0</v>
      </c>
      <c r="P331" s="9">
        <f t="shared" si="21"/>
        <v>20498.785427347768</v>
      </c>
      <c r="Q331" s="9" t="str">
        <f t="shared" si="22"/>
        <v/>
      </c>
      <c r="R331" s="9">
        <f t="shared" si="23"/>
        <v>72325.178717607851</v>
      </c>
    </row>
    <row r="332" spans="1:18" ht="15.5">
      <c r="A332" s="7" t="s">
        <v>18</v>
      </c>
      <c r="B332" s="7" t="s">
        <v>19</v>
      </c>
      <c r="C332" s="8">
        <v>1996</v>
      </c>
      <c r="D332" s="9">
        <v>5.8052859999999997</v>
      </c>
      <c r="E332" s="9">
        <v>2.0564000606536901</v>
      </c>
      <c r="F332" s="9"/>
      <c r="G332" s="9">
        <v>1.78564345836639</v>
      </c>
      <c r="H332" s="9">
        <v>40775.15625</v>
      </c>
      <c r="I332" s="9">
        <v>148346.203125</v>
      </c>
      <c r="J332" s="9">
        <v>1.2025672197341899</v>
      </c>
      <c r="K332" s="9">
        <v>0.47957736253738398</v>
      </c>
      <c r="L332" s="9" t="e">
        <f>IF(OR(OIT!#REF!="",OIT!#REF!=""),"",OIT!#REF!-OIT!#REF!)</f>
        <v>#REF!</v>
      </c>
      <c r="M332" s="9" t="e">
        <f>IF(OR(OIT!#REF!="",OIT!#REF!=""),"",OIT!#REF!-OIT!#REF!)</f>
        <v>#REF!</v>
      </c>
      <c r="N332" s="9" t="e">
        <f>IF(OR(OIT!#REF!="",OIT!#REF!=""),"",OIT!#REF!-OIT!#REF!)</f>
        <v>#REF!</v>
      </c>
      <c r="O332" s="9">
        <f t="shared" si="20"/>
        <v>0</v>
      </c>
      <c r="P332" s="9">
        <f t="shared" si="21"/>
        <v>19828.416187187995</v>
      </c>
      <c r="Q332" s="9" t="str">
        <f t="shared" si="22"/>
        <v/>
      </c>
      <c r="R332" s="9">
        <f t="shared" si="23"/>
        <v>72138.785620266703</v>
      </c>
    </row>
    <row r="333" spans="1:18" ht="15.5">
      <c r="A333" s="7" t="s">
        <v>18</v>
      </c>
      <c r="B333" s="7" t="s">
        <v>19</v>
      </c>
      <c r="C333" s="8">
        <v>1997</v>
      </c>
      <c r="D333" s="9">
        <v>5.8445780000000003</v>
      </c>
      <c r="E333" s="9">
        <v>2.07599997520447</v>
      </c>
      <c r="F333" s="9"/>
      <c r="G333" s="9">
        <v>1.8088514804840099</v>
      </c>
      <c r="H333" s="9">
        <v>42053.43359375</v>
      </c>
      <c r="I333" s="9">
        <v>154785.40625</v>
      </c>
      <c r="J333" s="9">
        <v>1.1980508565902701</v>
      </c>
      <c r="K333" s="9">
        <v>0.47957736253738398</v>
      </c>
      <c r="L333" s="9" t="e">
        <f>IF(OR(OIT!#REF!="",OIT!#REF!=""),"",OIT!#REF!-OIT!#REF!)</f>
        <v>#REF!</v>
      </c>
      <c r="M333" s="9" t="e">
        <f>IF(OR(OIT!#REF!="",OIT!#REF!=""),"",OIT!#REF!-OIT!#REF!)</f>
        <v>#REF!</v>
      </c>
      <c r="N333" s="9" t="e">
        <f>IF(OR(OIT!#REF!="",OIT!#REF!=""),"",OIT!#REF!-OIT!#REF!)</f>
        <v>#REF!</v>
      </c>
      <c r="O333" s="9">
        <f t="shared" si="20"/>
        <v>0</v>
      </c>
      <c r="P333" s="9">
        <f t="shared" si="21"/>
        <v>20256.952840092428</v>
      </c>
      <c r="Q333" s="9" t="str">
        <f t="shared" si="22"/>
        <v/>
      </c>
      <c r="R333" s="9">
        <f t="shared" si="23"/>
        <v>74559.445134268288</v>
      </c>
    </row>
    <row r="334" spans="1:18" ht="15.5">
      <c r="A334" s="7" t="s">
        <v>18</v>
      </c>
      <c r="B334" s="7" t="s">
        <v>19</v>
      </c>
      <c r="C334" s="8">
        <v>1998</v>
      </c>
      <c r="D334" s="9">
        <v>5.8807809999999998</v>
      </c>
      <c r="E334" s="9">
        <v>2.1618618965148899</v>
      </c>
      <c r="F334" s="9"/>
      <c r="G334" s="9">
        <v>1.8323612213134799</v>
      </c>
      <c r="H334" s="9">
        <v>43169.6015625</v>
      </c>
      <c r="I334" s="9">
        <v>162014.890625</v>
      </c>
      <c r="J334" s="9">
        <v>1.16659772396088</v>
      </c>
      <c r="K334" s="9">
        <v>0.47957736253738398</v>
      </c>
      <c r="L334" s="9" t="e">
        <f>IF(OR(OIT!#REF!="",OIT!#REF!=""),"",OIT!#REF!-OIT!#REF!)</f>
        <v>#REF!</v>
      </c>
      <c r="M334" s="9" t="e">
        <f>IF(OR(OIT!#REF!="",OIT!#REF!=""),"",OIT!#REF!-OIT!#REF!)</f>
        <v>#REF!</v>
      </c>
      <c r="N334" s="9" t="e">
        <f>IF(OR(OIT!#REF!="",OIT!#REF!=""),"",OIT!#REF!-OIT!#REF!)</f>
        <v>#REF!</v>
      </c>
      <c r="O334" s="9">
        <f t="shared" si="20"/>
        <v>0</v>
      </c>
      <c r="P334" s="9">
        <f t="shared" si="21"/>
        <v>19968.713835094262</v>
      </c>
      <c r="Q334" s="9" t="str">
        <f t="shared" si="22"/>
        <v/>
      </c>
      <c r="R334" s="9">
        <f t="shared" si="23"/>
        <v>74942.294364955567</v>
      </c>
    </row>
    <row r="335" spans="1:18" ht="15.5">
      <c r="A335" s="7" t="s">
        <v>18</v>
      </c>
      <c r="B335" s="7" t="s">
        <v>19</v>
      </c>
      <c r="C335" s="8">
        <v>1999</v>
      </c>
      <c r="D335" s="9">
        <v>5.9138999999999999</v>
      </c>
      <c r="E335" s="9">
        <v>2.1825211048126198</v>
      </c>
      <c r="F335" s="9"/>
      <c r="G335" s="9">
        <v>1.8561763763427701</v>
      </c>
      <c r="H335" s="9">
        <v>44102.2890625</v>
      </c>
      <c r="I335" s="9">
        <v>168712.9375</v>
      </c>
      <c r="J335" s="9">
        <v>1.1534411907196001</v>
      </c>
      <c r="K335" s="9">
        <v>0.47957736253738398</v>
      </c>
      <c r="L335" s="9" t="e">
        <f>IF(OR(OIT!#REF!="",OIT!#REF!=""),"",OIT!#REF!-OIT!#REF!)</f>
        <v>#REF!</v>
      </c>
      <c r="M335" s="9" t="e">
        <f>IF(OR(OIT!#REF!="",OIT!#REF!=""),"",OIT!#REF!-OIT!#REF!)</f>
        <v>#REF!</v>
      </c>
      <c r="N335" s="9" t="e">
        <f>IF(OR(OIT!#REF!="",OIT!#REF!=""),"",OIT!#REF!-OIT!#REF!)</f>
        <v>#REF!</v>
      </c>
      <c r="O335" s="9">
        <f t="shared" si="20"/>
        <v>0</v>
      </c>
      <c r="P335" s="9">
        <f t="shared" si="21"/>
        <v>20207.038990482706</v>
      </c>
      <c r="Q335" s="9" t="str">
        <f t="shared" si="22"/>
        <v/>
      </c>
      <c r="R335" s="9">
        <f t="shared" si="23"/>
        <v>77301.858446168306</v>
      </c>
    </row>
    <row r="336" spans="1:18" ht="15.5">
      <c r="A336" s="7" t="s">
        <v>18</v>
      </c>
      <c r="B336" s="7" t="s">
        <v>19</v>
      </c>
      <c r="C336" s="8">
        <v>2000</v>
      </c>
      <c r="D336" s="9">
        <v>5.9433660000000001</v>
      </c>
      <c r="E336" s="9">
        <v>2.1989369392395002</v>
      </c>
      <c r="F336" s="9"/>
      <c r="G336" s="9">
        <v>1.8803009986877399</v>
      </c>
      <c r="H336" s="9">
        <v>44598.91015625</v>
      </c>
      <c r="I336" s="9">
        <v>175839.734375</v>
      </c>
      <c r="J336" s="9">
        <v>1.1296736001968399</v>
      </c>
      <c r="K336" s="9">
        <v>0.47957736253738398</v>
      </c>
      <c r="L336" s="9" t="e">
        <f>IF(OR(OIT!#REF!="",OIT!#REF!=""),"",OIT!#REF!-OIT!#REF!)</f>
        <v>#REF!</v>
      </c>
      <c r="M336" s="9" t="e">
        <f>IF(OR(OIT!#REF!="",OIT!#REF!=""),"",OIT!#REF!-OIT!#REF!)</f>
        <v>#REF!</v>
      </c>
      <c r="N336" s="9" t="e">
        <f>IF(OR(OIT!#REF!="",OIT!#REF!=""),"",OIT!#REF!-OIT!#REF!)</f>
        <v>#REF!</v>
      </c>
      <c r="O336" s="9">
        <f t="shared" si="20"/>
        <v>0</v>
      </c>
      <c r="P336" s="9">
        <f t="shared" si="21"/>
        <v>20282.032358633478</v>
      </c>
      <c r="Q336" s="9" t="str">
        <f t="shared" si="22"/>
        <v/>
      </c>
      <c r="R336" s="9">
        <f t="shared" si="23"/>
        <v>79965.792214038651</v>
      </c>
    </row>
    <row r="337" spans="1:18" ht="15.5">
      <c r="A337" s="7" t="s">
        <v>18</v>
      </c>
      <c r="B337" s="7" t="s">
        <v>19</v>
      </c>
      <c r="C337" s="8">
        <v>2001</v>
      </c>
      <c r="D337" s="9">
        <v>5.9680600000000004</v>
      </c>
      <c r="E337" s="9">
        <v>2.27516794204712</v>
      </c>
      <c r="F337" s="9"/>
      <c r="G337" s="9">
        <v>1.89369809627533</v>
      </c>
      <c r="H337" s="9">
        <v>44990.18359375</v>
      </c>
      <c r="I337" s="9">
        <v>182818.40625</v>
      </c>
      <c r="J337" s="9">
        <v>1.10247278213501</v>
      </c>
      <c r="K337" s="9">
        <v>0.47957736253738398</v>
      </c>
      <c r="L337" s="9" t="e">
        <f>IF(OR(OIT!#REF!="",OIT!#REF!=""),"",OIT!#REF!-OIT!#REF!)</f>
        <v>#REF!</v>
      </c>
      <c r="M337" s="9" t="e">
        <f>IF(OR(OIT!#REF!="",OIT!#REF!=""),"",OIT!#REF!-OIT!#REF!)</f>
        <v>#REF!</v>
      </c>
      <c r="N337" s="9" t="e">
        <f>IF(OR(OIT!#REF!="",OIT!#REF!=""),"",OIT!#REF!-OIT!#REF!)</f>
        <v>#REF!</v>
      </c>
      <c r="O337" s="9">
        <f t="shared" si="20"/>
        <v>0</v>
      </c>
      <c r="P337" s="9">
        <f t="shared" si="21"/>
        <v>19774.44511338769</v>
      </c>
      <c r="Q337" s="9" t="str">
        <f t="shared" si="22"/>
        <v/>
      </c>
      <c r="R337" s="9">
        <f t="shared" si="23"/>
        <v>80353.807238293855</v>
      </c>
    </row>
    <row r="338" spans="1:18" ht="15.5">
      <c r="A338" s="7" t="s">
        <v>18</v>
      </c>
      <c r="B338" s="7" t="s">
        <v>19</v>
      </c>
      <c r="C338" s="8">
        <v>2002</v>
      </c>
      <c r="D338" s="9">
        <v>5.986631</v>
      </c>
      <c r="E338" s="9">
        <v>2.2196021080017099</v>
      </c>
      <c r="F338" s="9"/>
      <c r="G338" s="9">
        <v>1.9071905612945601</v>
      </c>
      <c r="H338" s="9">
        <v>45701.4140625</v>
      </c>
      <c r="I338" s="9">
        <v>190228.453125</v>
      </c>
      <c r="J338" s="9">
        <v>1.11344826221466</v>
      </c>
      <c r="K338" s="9">
        <v>0.47957736253738398</v>
      </c>
      <c r="L338" s="9" t="e">
        <f>IF(OR(OIT!#REF!="",OIT!#REF!=""),"",OIT!#REF!-OIT!#REF!)</f>
        <v>#REF!</v>
      </c>
      <c r="M338" s="9" t="e">
        <f>IF(OR(OIT!#REF!="",OIT!#REF!=""),"",OIT!#REF!-OIT!#REF!)</f>
        <v>#REF!</v>
      </c>
      <c r="N338" s="9" t="e">
        <f>IF(OR(OIT!#REF!="",OIT!#REF!=""),"",OIT!#REF!-OIT!#REF!)</f>
        <v>#REF!</v>
      </c>
      <c r="O338" s="9">
        <f t="shared" si="20"/>
        <v>0</v>
      </c>
      <c r="P338" s="9">
        <f t="shared" si="21"/>
        <v>20589.912893732391</v>
      </c>
      <c r="Q338" s="9" t="str">
        <f t="shared" si="22"/>
        <v/>
      </c>
      <c r="R338" s="9">
        <f t="shared" si="23"/>
        <v>85703.85315423095</v>
      </c>
    </row>
    <row r="339" spans="1:18" ht="15.5">
      <c r="A339" s="7" t="s">
        <v>18</v>
      </c>
      <c r="B339" s="7" t="s">
        <v>19</v>
      </c>
      <c r="C339" s="8">
        <v>2003</v>
      </c>
      <c r="D339" s="9">
        <v>5.9985989999999996</v>
      </c>
      <c r="E339" s="9">
        <v>2.2806539535522501</v>
      </c>
      <c r="F339" s="9"/>
      <c r="G339" s="9">
        <v>1.9207792282104501</v>
      </c>
      <c r="H339" s="9">
        <v>46415.37890625</v>
      </c>
      <c r="I339" s="9">
        <v>197911.828125</v>
      </c>
      <c r="J339" s="9">
        <v>1.0949804782867401</v>
      </c>
      <c r="K339" s="9">
        <v>0.47957736253738398</v>
      </c>
      <c r="L339" s="9" t="e">
        <f>IF(OR(OIT!#REF!="",OIT!#REF!=""),"",OIT!#REF!-OIT!#REF!)</f>
        <v>#REF!</v>
      </c>
      <c r="M339" s="9" t="e">
        <f>IF(OR(OIT!#REF!="",OIT!#REF!=""),"",OIT!#REF!-OIT!#REF!)</f>
        <v>#REF!</v>
      </c>
      <c r="N339" s="9" t="e">
        <f>IF(OR(OIT!#REF!="",OIT!#REF!=""),"",OIT!#REF!-OIT!#REF!)</f>
        <v>#REF!</v>
      </c>
      <c r="O339" s="9">
        <f t="shared" si="20"/>
        <v>0</v>
      </c>
      <c r="P339" s="9">
        <f t="shared" si="21"/>
        <v>20351.784993052264</v>
      </c>
      <c r="Q339" s="9" t="str">
        <f t="shared" si="22"/>
        <v/>
      </c>
      <c r="R339" s="9">
        <f t="shared" si="23"/>
        <v>86778.543415909677</v>
      </c>
    </row>
    <row r="340" spans="1:18" ht="15.5">
      <c r="A340" s="7" t="s">
        <v>18</v>
      </c>
      <c r="B340" s="7" t="s">
        <v>19</v>
      </c>
      <c r="C340" s="8">
        <v>2004</v>
      </c>
      <c r="D340" s="9">
        <v>6.0046710000000001</v>
      </c>
      <c r="E340" s="9">
        <v>2.2536439895629901</v>
      </c>
      <c r="F340" s="9"/>
      <c r="G340" s="9">
        <v>1.93446469306946</v>
      </c>
      <c r="H340" s="9">
        <v>46828.83984375</v>
      </c>
      <c r="I340" s="9">
        <v>204458.890625</v>
      </c>
      <c r="J340" s="9">
        <v>1.08895099163055</v>
      </c>
      <c r="K340" s="9">
        <v>0.47957736253738398</v>
      </c>
      <c r="L340" s="9" t="e">
        <f>IF(OR(OIT!#REF!="",OIT!#REF!=""),"",OIT!#REF!-OIT!#REF!)</f>
        <v>#REF!</v>
      </c>
      <c r="M340" s="9" t="e">
        <f>IF(OR(OIT!#REF!="",OIT!#REF!=""),"",OIT!#REF!-OIT!#REF!)</f>
        <v>#REF!</v>
      </c>
      <c r="N340" s="9" t="e">
        <f>IF(OR(OIT!#REF!="",OIT!#REF!=""),"",OIT!#REF!-OIT!#REF!)</f>
        <v>#REF!</v>
      </c>
      <c r="O340" s="9">
        <f t="shared" si="20"/>
        <v>0</v>
      </c>
      <c r="P340" s="9">
        <f t="shared" si="21"/>
        <v>20779.164792940832</v>
      </c>
      <c r="Q340" s="9" t="str">
        <f t="shared" si="22"/>
        <v/>
      </c>
      <c r="R340" s="9">
        <f t="shared" si="23"/>
        <v>90723.686426021159</v>
      </c>
    </row>
    <row r="341" spans="1:18" ht="15.5">
      <c r="A341" s="7" t="s">
        <v>18</v>
      </c>
      <c r="B341" s="7" t="s">
        <v>19</v>
      </c>
      <c r="C341" s="8">
        <v>2005</v>
      </c>
      <c r="D341" s="9">
        <v>6.0055779999999999</v>
      </c>
      <c r="E341" s="9">
        <v>2.28355193138123</v>
      </c>
      <c r="F341" s="9"/>
      <c r="G341" s="9">
        <v>1.94824767112732</v>
      </c>
      <c r="H341" s="9">
        <v>48096.7109375</v>
      </c>
      <c r="I341" s="9">
        <v>211101.296875</v>
      </c>
      <c r="J341" s="9">
        <v>1.0913238525390601</v>
      </c>
      <c r="K341" s="9">
        <v>0.47957736253738398</v>
      </c>
      <c r="L341" s="9" t="e">
        <f>IF(OR(OIT!#REF!="",OIT!#REF!=""),"",OIT!#REF!-OIT!#REF!)</f>
        <v>#REF!</v>
      </c>
      <c r="M341" s="9" t="e">
        <f>IF(OR(OIT!#REF!="",OIT!#REF!=""),"",OIT!#REF!-OIT!#REF!)</f>
        <v>#REF!</v>
      </c>
      <c r="N341" s="9" t="e">
        <f>IF(OR(OIT!#REF!="",OIT!#REF!=""),"",OIT!#REF!-OIT!#REF!)</f>
        <v>#REF!</v>
      </c>
      <c r="O341" s="9">
        <f t="shared" si="20"/>
        <v>0</v>
      </c>
      <c r="P341" s="9">
        <f t="shared" si="21"/>
        <v>21062.236543229479</v>
      </c>
      <c r="Q341" s="9" t="str">
        <f t="shared" si="22"/>
        <v/>
      </c>
      <c r="R341" s="9">
        <f t="shared" si="23"/>
        <v>92444.272439783395</v>
      </c>
    </row>
    <row r="342" spans="1:18" ht="15.5">
      <c r="A342" s="7" t="s">
        <v>18</v>
      </c>
      <c r="B342" s="7" t="s">
        <v>19</v>
      </c>
      <c r="C342" s="8">
        <v>2006</v>
      </c>
      <c r="D342" s="9">
        <v>6.002319</v>
      </c>
      <c r="E342" s="9">
        <v>2.3370909690856898</v>
      </c>
      <c r="F342" s="9"/>
      <c r="G342" s="9">
        <v>1.9621288776397701</v>
      </c>
      <c r="H342" s="9">
        <v>50185.5</v>
      </c>
      <c r="I342" s="9">
        <v>219094.21875</v>
      </c>
      <c r="J342" s="9">
        <v>1.10043561458588</v>
      </c>
      <c r="K342" s="9">
        <v>0.47957736253738398</v>
      </c>
      <c r="L342" s="9" t="e">
        <f>IF(OR(OIT!#REF!="",OIT!#REF!=""),"",OIT!#REF!-OIT!#REF!)</f>
        <v>#REF!</v>
      </c>
      <c r="M342" s="9" t="e">
        <f>IF(OR(OIT!#REF!="",OIT!#REF!=""),"",OIT!#REF!-OIT!#REF!)</f>
        <v>#REF!</v>
      </c>
      <c r="N342" s="9" t="e">
        <f>IF(OR(OIT!#REF!="",OIT!#REF!=""),"",OIT!#REF!-OIT!#REF!)</f>
        <v>#REF!</v>
      </c>
      <c r="O342" s="9">
        <f t="shared" si="20"/>
        <v>0</v>
      </c>
      <c r="P342" s="9">
        <f t="shared" si="21"/>
        <v>21473.490190941702</v>
      </c>
      <c r="Q342" s="9" t="str">
        <f t="shared" si="22"/>
        <v/>
      </c>
      <c r="R342" s="9">
        <f t="shared" si="23"/>
        <v>93746.551438566137</v>
      </c>
    </row>
    <row r="343" spans="1:18" ht="15.5">
      <c r="A343" s="7" t="s">
        <v>18</v>
      </c>
      <c r="B343" s="7" t="s">
        <v>19</v>
      </c>
      <c r="C343" s="8">
        <v>2007</v>
      </c>
      <c r="D343" s="9">
        <v>6.0098240000000001</v>
      </c>
      <c r="E343" s="9">
        <v>2.41915702819824</v>
      </c>
      <c r="F343" s="9"/>
      <c r="G343" s="9">
        <v>1.9761089086532599</v>
      </c>
      <c r="H343" s="9">
        <v>51119.2421875</v>
      </c>
      <c r="I343" s="9">
        <v>228183.78125</v>
      </c>
      <c r="J343" s="9">
        <v>1.0736778974533101</v>
      </c>
      <c r="K343" s="9">
        <v>0.47957736253738398</v>
      </c>
      <c r="L343" s="9" t="e">
        <f>IF(OR(OIT!#REF!="",OIT!#REF!=""),"",OIT!#REF!-OIT!#REF!)</f>
        <v>#REF!</v>
      </c>
      <c r="M343" s="9" t="e">
        <f>IF(OR(OIT!#REF!="",OIT!#REF!=""),"",OIT!#REF!-OIT!#REF!)</f>
        <v>#REF!</v>
      </c>
      <c r="N343" s="9" t="e">
        <f>IF(OR(OIT!#REF!="",OIT!#REF!=""),"",OIT!#REF!-OIT!#REF!)</f>
        <v>#REF!</v>
      </c>
      <c r="O343" s="9">
        <f t="shared" si="20"/>
        <v>0</v>
      </c>
      <c r="P343" s="9">
        <f t="shared" si="21"/>
        <v>21131.014478036184</v>
      </c>
      <c r="Q343" s="9" t="str">
        <f t="shared" si="22"/>
        <v/>
      </c>
      <c r="R343" s="9">
        <f t="shared" si="23"/>
        <v>94323.674978613781</v>
      </c>
    </row>
    <row r="344" spans="1:18" ht="15.5">
      <c r="A344" s="7" t="s">
        <v>18</v>
      </c>
      <c r="B344" s="7" t="s">
        <v>19</v>
      </c>
      <c r="C344" s="8">
        <v>2008</v>
      </c>
      <c r="D344" s="9">
        <v>6.0292969999999997</v>
      </c>
      <c r="E344" s="9">
        <v>2.4269955158233598</v>
      </c>
      <c r="F344" s="9"/>
      <c r="G344" s="9">
        <v>1.9901887178421001</v>
      </c>
      <c r="H344" s="9">
        <v>52206.6640625</v>
      </c>
      <c r="I344" s="9">
        <v>236640.5625</v>
      </c>
      <c r="J344" s="9">
        <v>1.07690370082855</v>
      </c>
      <c r="K344" s="9">
        <v>0.47957736253738398</v>
      </c>
      <c r="L344" s="9" t="e">
        <f>IF(OR(OIT!#REF!="",OIT!#REF!=""),"",OIT!#REF!-OIT!#REF!)</f>
        <v>#REF!</v>
      </c>
      <c r="M344" s="9" t="e">
        <f>IF(OR(OIT!#REF!="",OIT!#REF!=""),"",OIT!#REF!-OIT!#REF!)</f>
        <v>#REF!</v>
      </c>
      <c r="N344" s="9" t="e">
        <f>IF(OR(OIT!#REF!="",OIT!#REF!=""),"",OIT!#REF!-OIT!#REF!)</f>
        <v>#REF!</v>
      </c>
      <c r="O344" s="9">
        <f t="shared" si="20"/>
        <v>0</v>
      </c>
      <c r="P344" s="9">
        <f t="shared" si="21"/>
        <v>21510.820156908634</v>
      </c>
      <c r="Q344" s="9" t="str">
        <f t="shared" si="22"/>
        <v/>
      </c>
      <c r="R344" s="9">
        <f t="shared" si="23"/>
        <v>97503.502152009343</v>
      </c>
    </row>
    <row r="345" spans="1:18" ht="15.5">
      <c r="A345" s="7" t="s">
        <v>18</v>
      </c>
      <c r="B345" s="7" t="s">
        <v>19</v>
      </c>
      <c r="C345" s="8">
        <v>2009</v>
      </c>
      <c r="D345" s="9">
        <v>6.048279</v>
      </c>
      <c r="E345" s="9">
        <v>2.4430396556854301</v>
      </c>
      <c r="F345" s="9"/>
      <c r="G345" s="9">
        <v>2.0043685436248802</v>
      </c>
      <c r="H345" s="9">
        <v>51118.99609375</v>
      </c>
      <c r="I345" s="9">
        <v>241734.6875</v>
      </c>
      <c r="J345" s="9">
        <v>1.0512775182723999</v>
      </c>
      <c r="K345" s="9">
        <v>0.47957736253738398</v>
      </c>
      <c r="L345" s="9" t="e">
        <f>IF(OR(OIT!#REF!="",OIT!#REF!=""),"",OIT!#REF!-OIT!#REF!)</f>
        <v>#REF!</v>
      </c>
      <c r="M345" s="9" t="e">
        <f>IF(OR(OIT!#REF!="",OIT!#REF!=""),"",OIT!#REF!-OIT!#REF!)</f>
        <v>#REF!</v>
      </c>
      <c r="N345" s="9" t="e">
        <f>IF(OR(OIT!#REF!="",OIT!#REF!=""),"",OIT!#REF!-OIT!#REF!)</f>
        <v>#REF!</v>
      </c>
      <c r="O345" s="9">
        <f t="shared" si="20"/>
        <v>0</v>
      </c>
      <c r="P345" s="9">
        <f t="shared" si="21"/>
        <v>20924.341516432662</v>
      </c>
      <c r="Q345" s="9" t="str">
        <f t="shared" si="22"/>
        <v/>
      </c>
      <c r="R345" s="9">
        <f t="shared" si="23"/>
        <v>98948.327317338539</v>
      </c>
    </row>
    <row r="346" spans="1:18" ht="15.5">
      <c r="A346" s="7" t="s">
        <v>18</v>
      </c>
      <c r="B346" s="7" t="s">
        <v>19</v>
      </c>
      <c r="C346" s="8">
        <v>2010</v>
      </c>
      <c r="D346" s="9">
        <v>6.0682489999999998</v>
      </c>
      <c r="E346" s="9">
        <v>2.4778177738189702</v>
      </c>
      <c r="F346" s="9"/>
      <c r="G346" s="9">
        <v>2.0186495780944802</v>
      </c>
      <c r="H346" s="9">
        <v>52195.671875</v>
      </c>
      <c r="I346" s="9">
        <v>245464.859375</v>
      </c>
      <c r="J346" s="9">
        <v>1.05281758308411</v>
      </c>
      <c r="K346" s="9">
        <v>0.47957736253738398</v>
      </c>
      <c r="L346" s="9" t="e">
        <f>IF(OR(OIT!#REF!="",OIT!#REF!=""),"",OIT!#REF!-OIT!#REF!)</f>
        <v>#REF!</v>
      </c>
      <c r="M346" s="9" t="e">
        <f>IF(OR(OIT!#REF!="",OIT!#REF!=""),"",OIT!#REF!-OIT!#REF!)</f>
        <v>#REF!</v>
      </c>
      <c r="N346" s="9" t="e">
        <f>IF(OR(OIT!#REF!="",OIT!#REF!=""),"",OIT!#REF!-OIT!#REF!)</f>
        <v>#REF!</v>
      </c>
      <c r="O346" s="9">
        <f t="shared" si="20"/>
        <v>0</v>
      </c>
      <c r="P346" s="9">
        <f t="shared" si="21"/>
        <v>21065.177765091543</v>
      </c>
      <c r="Q346" s="9" t="str">
        <f t="shared" si="22"/>
        <v/>
      </c>
      <c r="R346" s="9">
        <f t="shared" si="23"/>
        <v>99064.936077471895</v>
      </c>
    </row>
    <row r="347" spans="1:18" ht="15.5">
      <c r="A347" s="7" t="s">
        <v>18</v>
      </c>
      <c r="B347" s="7" t="s">
        <v>19</v>
      </c>
      <c r="C347" s="8">
        <v>2011</v>
      </c>
      <c r="D347" s="9">
        <v>6.0901269999999998</v>
      </c>
      <c r="E347" s="9">
        <v>2.54806780815125</v>
      </c>
      <c r="F347" s="9"/>
      <c r="G347" s="9">
        <v>2.0487935543060298</v>
      </c>
      <c r="H347" s="9">
        <v>54185.2734375</v>
      </c>
      <c r="I347" s="9">
        <v>250937.4375</v>
      </c>
      <c r="J347" s="9">
        <v>1.0568830966949501</v>
      </c>
      <c r="K347" s="9">
        <v>0.47957736253738398</v>
      </c>
      <c r="L347" s="9" t="e">
        <f>IF(OR(OIT!#REF!="",OIT!#REF!=""),"",OIT!#REF!-OIT!#REF!)</f>
        <v>#REF!</v>
      </c>
      <c r="M347" s="9" t="e">
        <f>IF(OR(OIT!#REF!="",OIT!#REF!=""),"",OIT!#REF!-OIT!#REF!)</f>
        <v>#REF!</v>
      </c>
      <c r="N347" s="9" t="e">
        <f>IF(OR(OIT!#REF!="",OIT!#REF!=""),"",OIT!#REF!-OIT!#REF!)</f>
        <v>#REF!</v>
      </c>
      <c r="O347" s="9">
        <f t="shared" si="20"/>
        <v>0</v>
      </c>
      <c r="P347" s="9">
        <f t="shared" si="21"/>
        <v>21265.239984651002</v>
      </c>
      <c r="Q347" s="9" t="str">
        <f t="shared" si="22"/>
        <v/>
      </c>
      <c r="R347" s="9">
        <f t="shared" si="23"/>
        <v>98481.459832918496</v>
      </c>
    </row>
    <row r="348" spans="1:18" ht="15.5">
      <c r="A348" s="7" t="s">
        <v>18</v>
      </c>
      <c r="B348" s="7" t="s">
        <v>19</v>
      </c>
      <c r="C348" s="8">
        <v>2012</v>
      </c>
      <c r="D348" s="9">
        <v>6.1139749999999999</v>
      </c>
      <c r="E348" s="9">
        <v>2.64423751831055</v>
      </c>
      <c r="F348" s="9"/>
      <c r="G348" s="9">
        <v>2.0793874263763401</v>
      </c>
      <c r="H348" s="9">
        <v>55710.0859375</v>
      </c>
      <c r="I348" s="9">
        <v>256945.625</v>
      </c>
      <c r="J348" s="9">
        <v>1.04684162139893</v>
      </c>
      <c r="K348" s="9">
        <v>0.47957736253738398</v>
      </c>
      <c r="L348" s="9" t="e">
        <f>IF(OR(OIT!#REF!="",OIT!#REF!=""),"",OIT!#REF!-OIT!#REF!)</f>
        <v>#REF!</v>
      </c>
      <c r="M348" s="9" t="e">
        <f>IF(OR(OIT!#REF!="",OIT!#REF!=""),"",OIT!#REF!-OIT!#REF!)</f>
        <v>#REF!</v>
      </c>
      <c r="N348" s="9" t="e">
        <f>IF(OR(OIT!#REF!="",OIT!#REF!=""),"",OIT!#REF!-OIT!#REF!)</f>
        <v>#REF!</v>
      </c>
      <c r="O348" s="9">
        <f t="shared" si="20"/>
        <v>0</v>
      </c>
      <c r="P348" s="9">
        <f t="shared" si="21"/>
        <v>21068.487816137695</v>
      </c>
      <c r="Q348" s="9" t="str">
        <f t="shared" si="22"/>
        <v/>
      </c>
      <c r="R348" s="9">
        <f t="shared" si="23"/>
        <v>97171.91561678132</v>
      </c>
    </row>
    <row r="349" spans="1:18" ht="15.5">
      <c r="A349" s="7" t="s">
        <v>18</v>
      </c>
      <c r="B349" s="7" t="s">
        <v>19</v>
      </c>
      <c r="C349" s="8">
        <v>2013</v>
      </c>
      <c r="D349" s="9">
        <v>6.1388389999999999</v>
      </c>
      <c r="E349" s="9">
        <v>2.7167584896087602</v>
      </c>
      <c r="F349" s="9"/>
      <c r="G349" s="9">
        <v>2.1104381084442099</v>
      </c>
      <c r="H349" s="9">
        <v>56957.23828125</v>
      </c>
      <c r="I349" s="9">
        <v>263921.125</v>
      </c>
      <c r="J349" s="9">
        <v>1.0324130058288601</v>
      </c>
      <c r="K349" s="9">
        <v>0.47957736253738398</v>
      </c>
      <c r="L349" s="9" t="e">
        <f>IF(OR(OIT!#REF!="",OIT!#REF!=""),"",OIT!#REF!-OIT!#REF!)</f>
        <v>#REF!</v>
      </c>
      <c r="M349" s="9" t="e">
        <f>IF(OR(OIT!#REF!="",OIT!#REF!=""),"",OIT!#REF!-OIT!#REF!)</f>
        <v>#REF!</v>
      </c>
      <c r="N349" s="9" t="e">
        <f>IF(OR(OIT!#REF!="",OIT!#REF!=""),"",OIT!#REF!-OIT!#REF!)</f>
        <v>#REF!</v>
      </c>
      <c r="O349" s="9">
        <f t="shared" si="20"/>
        <v>0</v>
      </c>
      <c r="P349" s="9">
        <f t="shared" si="21"/>
        <v>20965.145963140949</v>
      </c>
      <c r="Q349" s="9" t="str">
        <f t="shared" si="22"/>
        <v/>
      </c>
      <c r="R349" s="9">
        <f t="shared" si="23"/>
        <v>97145.596860914651</v>
      </c>
    </row>
    <row r="350" spans="1:18" ht="15.5">
      <c r="A350" s="7" t="s">
        <v>18</v>
      </c>
      <c r="B350" s="7" t="s">
        <v>19</v>
      </c>
      <c r="C350" s="8">
        <v>2014</v>
      </c>
      <c r="D350" s="9">
        <v>6.1629550000000002</v>
      </c>
      <c r="E350" s="9">
        <v>2.7318172454834002</v>
      </c>
      <c r="F350" s="9"/>
      <c r="G350" s="9">
        <v>2.1419525146484402</v>
      </c>
      <c r="H350" s="9">
        <v>57931.1171875</v>
      </c>
      <c r="I350" s="9">
        <v>269102.625</v>
      </c>
      <c r="J350" s="9">
        <v>1.0282109975814799</v>
      </c>
      <c r="K350" s="9">
        <v>0.47957736253738398</v>
      </c>
      <c r="L350" s="9" t="e">
        <f>IF(OR(OIT!#REF!="",OIT!#REF!=""),"",OIT!#REF!-OIT!#REF!)</f>
        <v>#REF!</v>
      </c>
      <c r="M350" s="9" t="e">
        <f>IF(OR(OIT!#REF!="",OIT!#REF!=""),"",OIT!#REF!-OIT!#REF!)</f>
        <v>#REF!</v>
      </c>
      <c r="N350" s="9" t="e">
        <f>IF(OR(OIT!#REF!="",OIT!#REF!=""),"",OIT!#REF!-OIT!#REF!)</f>
        <v>#REF!</v>
      </c>
      <c r="O350" s="9">
        <f t="shared" si="20"/>
        <v>0</v>
      </c>
      <c r="P350" s="9">
        <f t="shared" si="21"/>
        <v>21206.073460177231</v>
      </c>
      <c r="Q350" s="9" t="str">
        <f t="shared" si="22"/>
        <v/>
      </c>
      <c r="R350" s="9">
        <f t="shared" si="23"/>
        <v>98506.818289150149</v>
      </c>
    </row>
    <row r="351" spans="1:18" ht="15.5">
      <c r="A351" s="7" t="s">
        <v>18</v>
      </c>
      <c r="B351" s="7" t="s">
        <v>19</v>
      </c>
      <c r="C351" s="8">
        <v>2015</v>
      </c>
      <c r="D351" s="9">
        <v>6.1836760000000002</v>
      </c>
      <c r="E351" s="9">
        <v>2.7555289268493701</v>
      </c>
      <c r="F351" s="9"/>
      <c r="G351" s="9">
        <v>2.1739375591278098</v>
      </c>
      <c r="H351" s="9">
        <v>59321.46484375</v>
      </c>
      <c r="I351" s="9">
        <v>275698.28125</v>
      </c>
      <c r="J351" s="9">
        <v>1.0246224403381301</v>
      </c>
      <c r="K351" s="9">
        <v>0.483317911624908</v>
      </c>
      <c r="L351" s="9" t="e">
        <f>IF(OR(OIT!#REF!="",OIT!#REF!=""),"",OIT!#REF!-OIT!#REF!)</f>
        <v>#REF!</v>
      </c>
      <c r="M351" s="9" t="e">
        <f>IF(OR(OIT!#REF!="",OIT!#REF!=""),"",OIT!#REF!-OIT!#REF!)</f>
        <v>#REF!</v>
      </c>
      <c r="N351" s="9" t="e">
        <f>IF(OR(OIT!#REF!="",OIT!#REF!=""),"",OIT!#REF!-OIT!#REF!)</f>
        <v>#REF!</v>
      </c>
      <c r="O351" s="9">
        <f t="shared" si="20"/>
        <v>0</v>
      </c>
      <c r="P351" s="9">
        <f t="shared" si="21"/>
        <v>21528.158991811877</v>
      </c>
      <c r="Q351" s="9" t="str">
        <f t="shared" si="22"/>
        <v/>
      </c>
      <c r="R351" s="9">
        <f t="shared" si="23"/>
        <v>100052.76248913461</v>
      </c>
    </row>
    <row r="352" spans="1:18" ht="15.5">
      <c r="A352" s="7" t="s">
        <v>18</v>
      </c>
      <c r="B352" s="7" t="s">
        <v>19</v>
      </c>
      <c r="C352" s="8">
        <v>2016</v>
      </c>
      <c r="D352" s="9">
        <v>6.2008000000000001</v>
      </c>
      <c r="E352" s="9">
        <v>2.81750440597534</v>
      </c>
      <c r="F352" s="9"/>
      <c r="G352" s="9">
        <v>2.2064001560211199</v>
      </c>
      <c r="H352" s="9">
        <v>60827.6796875</v>
      </c>
      <c r="I352" s="9">
        <v>282828.40625</v>
      </c>
      <c r="J352" s="9">
        <v>1.0194777250289899</v>
      </c>
      <c r="K352" s="9">
        <v>0.48635780811309798</v>
      </c>
      <c r="L352" s="9" t="e">
        <f>IF(OR(OIT!#REF!="",OIT!#REF!=""),"",OIT!#REF!-OIT!#REF!)</f>
        <v>#REF!</v>
      </c>
      <c r="M352" s="9" t="e">
        <f>IF(OR(OIT!#REF!="",OIT!#REF!=""),"",OIT!#REF!-OIT!#REF!)</f>
        <v>#REF!</v>
      </c>
      <c r="N352" s="9" t="e">
        <f>IF(OR(OIT!#REF!="",OIT!#REF!=""),"",OIT!#REF!-OIT!#REF!)</f>
        <v>#REF!</v>
      </c>
      <c r="O352" s="9">
        <f t="shared" si="20"/>
        <v>0</v>
      </c>
      <c r="P352" s="9">
        <f t="shared" si="21"/>
        <v>21589.204814905403</v>
      </c>
      <c r="Q352" s="9" t="str">
        <f t="shared" si="22"/>
        <v/>
      </c>
      <c r="R352" s="9">
        <f t="shared" si="23"/>
        <v>100382.59590656889</v>
      </c>
    </row>
    <row r="353" spans="1:18" ht="15.5">
      <c r="A353" s="7" t="s">
        <v>18</v>
      </c>
      <c r="B353" s="7" t="s">
        <v>19</v>
      </c>
      <c r="C353" s="8">
        <v>2017</v>
      </c>
      <c r="D353" s="9">
        <v>6.213533</v>
      </c>
      <c r="E353" s="9">
        <v>2.8434135913848899</v>
      </c>
      <c r="F353" s="9"/>
      <c r="G353" s="9">
        <v>2.23934745788574</v>
      </c>
      <c r="H353" s="9">
        <v>62194.84765625</v>
      </c>
      <c r="I353" s="9">
        <v>290496.59375</v>
      </c>
      <c r="J353" s="9">
        <v>1.01716649532318</v>
      </c>
      <c r="K353" s="9">
        <v>0.49342298507690402</v>
      </c>
      <c r="L353" s="9" t="e">
        <f>IF(OR(OIT!#REF!="",OIT!#REF!=""),"",OIT!#REF!-OIT!#REF!)</f>
        <v>#REF!</v>
      </c>
      <c r="M353" s="9" t="e">
        <f>IF(OR(OIT!#REF!="",OIT!#REF!=""),"",OIT!#REF!-OIT!#REF!)</f>
        <v>#REF!</v>
      </c>
      <c r="N353" s="9" t="e">
        <f>IF(OR(OIT!#REF!="",OIT!#REF!=""),"",OIT!#REF!-OIT!#REF!)</f>
        <v>#REF!</v>
      </c>
      <c r="O353" s="9">
        <f t="shared" si="20"/>
        <v>0</v>
      </c>
      <c r="P353" s="9">
        <f t="shared" si="21"/>
        <v>21873.303217193206</v>
      </c>
      <c r="Q353" s="9" t="str">
        <f t="shared" si="22"/>
        <v/>
      </c>
      <c r="R353" s="9">
        <f t="shared" si="23"/>
        <v>102164.73418786505</v>
      </c>
    </row>
    <row r="354" spans="1:18" ht="15.5">
      <c r="A354" s="7" t="s">
        <v>18</v>
      </c>
      <c r="B354" s="7" t="s">
        <v>19</v>
      </c>
      <c r="C354" s="8">
        <v>2018</v>
      </c>
      <c r="D354" s="9">
        <v>6.2198070000000003</v>
      </c>
      <c r="E354" s="9">
        <v>2.9076485633850102</v>
      </c>
      <c r="F354" s="9"/>
      <c r="G354" s="9">
        <v>2.27278709411621</v>
      </c>
      <c r="H354" s="9">
        <v>63695.26171875</v>
      </c>
      <c r="I354" s="9">
        <v>299389.65625</v>
      </c>
      <c r="J354" s="9">
        <v>1.0036879777908301</v>
      </c>
      <c r="K354" s="9">
        <v>0.497389316558838</v>
      </c>
      <c r="L354" s="9" t="e">
        <f>IF(OR(OIT!#REF!="",OIT!#REF!=""),"",OIT!#REF!-OIT!#REF!)</f>
        <v>#REF!</v>
      </c>
      <c r="M354" s="9" t="e">
        <f>IF(OR(OIT!#REF!="",OIT!#REF!=""),"",OIT!#REF!-OIT!#REF!)</f>
        <v>#REF!</v>
      </c>
      <c r="N354" s="9" t="e">
        <f>IF(OR(OIT!#REF!="",OIT!#REF!=""),"",OIT!#REF!-OIT!#REF!)</f>
        <v>#REF!</v>
      </c>
      <c r="O354" s="9">
        <f t="shared" si="20"/>
        <v>0</v>
      </c>
      <c r="P354" s="9">
        <f t="shared" si="21"/>
        <v>21906.10740267648</v>
      </c>
      <c r="Q354" s="9" t="str">
        <f t="shared" si="22"/>
        <v/>
      </c>
      <c r="R354" s="9">
        <f t="shared" si="23"/>
        <v>102966.24565296785</v>
      </c>
    </row>
    <row r="355" spans="1:18" ht="15.5">
      <c r="A355" s="7" t="s">
        <v>18</v>
      </c>
      <c r="B355" s="7" t="s">
        <v>19</v>
      </c>
      <c r="C355" s="8">
        <v>2019</v>
      </c>
      <c r="D355" s="9">
        <v>6.2223179999999996</v>
      </c>
      <c r="E355" s="9">
        <v>3.0046157836914098</v>
      </c>
      <c r="F355" s="9"/>
      <c r="G355" s="9">
        <v>2.3067257404327401</v>
      </c>
      <c r="H355" s="9">
        <v>65247.8203125</v>
      </c>
      <c r="I355" s="9">
        <v>309309.5625</v>
      </c>
      <c r="J355" s="9">
        <v>0.98902839422225997</v>
      </c>
      <c r="K355" s="9">
        <v>0.49921610951423601</v>
      </c>
      <c r="L355" s="9" t="e">
        <f>IF(OR(OIT!#REF!="",OIT!#REF!=""),"",OIT!#REF!-OIT!#REF!)</f>
        <v>#REF!</v>
      </c>
      <c r="M355" s="9" t="e">
        <f>IF(OR(OIT!#REF!="",OIT!#REF!=""),"",OIT!#REF!-OIT!#REF!)</f>
        <v>#REF!</v>
      </c>
      <c r="N355" s="9" t="e">
        <f>IF(OR(OIT!#REF!="",OIT!#REF!=""),"",OIT!#REF!-OIT!#REF!)</f>
        <v>#REF!</v>
      </c>
      <c r="O355" s="9">
        <f t="shared" si="20"/>
        <v>0</v>
      </c>
      <c r="P355" s="9">
        <f t="shared" si="21"/>
        <v>21715.861531000101</v>
      </c>
      <c r="Q355" s="9" t="str">
        <f t="shared" si="22"/>
        <v/>
      </c>
      <c r="R355" s="9">
        <f t="shared" si="23"/>
        <v>102944.79719466445</v>
      </c>
    </row>
    <row r="356" spans="1:18" ht="15.5">
      <c r="A356" s="7" t="s">
        <v>18</v>
      </c>
      <c r="B356" s="7" t="s">
        <v>19</v>
      </c>
      <c r="C356" s="8">
        <v>2020</v>
      </c>
      <c r="D356" s="9">
        <v>6.2346729999999999</v>
      </c>
      <c r="E356" s="9">
        <v>2.82673907279968</v>
      </c>
      <c r="F356" s="9"/>
      <c r="G356" s="9">
        <v>2.3411712646484402</v>
      </c>
      <c r="H356" s="9">
        <v>60097.73828125</v>
      </c>
      <c r="I356" s="9">
        <v>317309.59375</v>
      </c>
      <c r="J356" s="9">
        <v>0.92600256204605103</v>
      </c>
      <c r="K356" s="9">
        <v>0.521345615386963</v>
      </c>
      <c r="L356" s="9" t="e">
        <f>IF(OR(OIT!#REF!="",OIT!#REF!=""),"",OIT!#REF!-OIT!#REF!)</f>
        <v>#REF!</v>
      </c>
      <c r="M356" s="9" t="e">
        <f>IF(OR(OIT!#REF!="",OIT!#REF!=""),"",OIT!#REF!-OIT!#REF!)</f>
        <v>#REF!</v>
      </c>
      <c r="N356" s="9" t="e">
        <f>IF(OR(OIT!#REF!="",OIT!#REF!=""),"",OIT!#REF!-OIT!#REF!)</f>
        <v>#REF!</v>
      </c>
      <c r="O356" s="9">
        <f t="shared" si="20"/>
        <v>0</v>
      </c>
      <c r="P356" s="9">
        <f t="shared" si="21"/>
        <v>21260.447722091147</v>
      </c>
      <c r="Q356" s="9" t="str">
        <f t="shared" si="22"/>
        <v/>
      </c>
      <c r="R356" s="9">
        <f t="shared" si="23"/>
        <v>112252.87710610229</v>
      </c>
    </row>
    <row r="357" spans="1:18" ht="15.5">
      <c r="A357" s="7" t="s">
        <v>18</v>
      </c>
      <c r="B357" s="7" t="s">
        <v>19</v>
      </c>
      <c r="C357" s="8">
        <v>2021</v>
      </c>
      <c r="D357" s="9">
        <v>6.255782</v>
      </c>
      <c r="E357" s="9">
        <v>2.8569717407226598</v>
      </c>
      <c r="F357" s="9"/>
      <c r="G357" s="9">
        <v>2.35296654701233</v>
      </c>
      <c r="H357" s="9">
        <v>67252.234375</v>
      </c>
      <c r="I357" s="9">
        <v>330467.625</v>
      </c>
      <c r="J357" s="9">
        <v>1</v>
      </c>
      <c r="K357" s="9">
        <v>0.521345615386963</v>
      </c>
      <c r="L357" s="9" t="e">
        <f>IF(OR(OIT!#REF!="",OIT!#REF!=""),"",OIT!#REF!-OIT!#REF!)</f>
        <v>#REF!</v>
      </c>
      <c r="M357" s="9" t="e">
        <f>IF(OR(OIT!#REF!="",OIT!#REF!=""),"",OIT!#REF!-OIT!#REF!)</f>
        <v>#REF!</v>
      </c>
      <c r="N357" s="9" t="e">
        <f>IF(OR(OIT!#REF!="",OIT!#REF!=""),"",OIT!#REF!-OIT!#REF!)</f>
        <v>#REF!</v>
      </c>
      <c r="O357" s="9">
        <f t="shared" si="20"/>
        <v>0</v>
      </c>
      <c r="P357" s="9">
        <f t="shared" si="21"/>
        <v>23539.691840980133</v>
      </c>
      <c r="Q357" s="9" t="str">
        <f t="shared" si="22"/>
        <v/>
      </c>
      <c r="R357" s="9">
        <f t="shared" si="23"/>
        <v>115670.59634842923</v>
      </c>
    </row>
    <row r="358" spans="1:18" ht="15.5">
      <c r="A358" s="7" t="s">
        <v>18</v>
      </c>
      <c r="B358" s="7" t="s">
        <v>19</v>
      </c>
      <c r="C358" s="8">
        <v>2022</v>
      </c>
      <c r="D358" s="9">
        <v>6.2803190000000004</v>
      </c>
      <c r="E358" s="9">
        <v>2.9553759098053001</v>
      </c>
      <c r="F358" s="9"/>
      <c r="G358" s="9">
        <v>2.3648211956024201</v>
      </c>
      <c r="H358" s="9">
        <v>69135</v>
      </c>
      <c r="I358" s="9">
        <v>344066.0625</v>
      </c>
      <c r="J358" s="9">
        <v>0.98472917079925504</v>
      </c>
      <c r="K358" s="9">
        <v>0.521345615386963</v>
      </c>
      <c r="L358" s="9" t="e">
        <f>IF(OR(OIT!#REF!="",OIT!#REF!=""),"",OIT!#REF!-OIT!#REF!)</f>
        <v>#REF!</v>
      </c>
      <c r="M358" s="9" t="e">
        <f>IF(OR(OIT!#REF!="",OIT!#REF!=""),"",OIT!#REF!-OIT!#REF!)</f>
        <v>#REF!</v>
      </c>
      <c r="N358" s="9" t="e">
        <f>IF(OR(OIT!#REF!="",OIT!#REF!=""),"",OIT!#REF!-OIT!#REF!)</f>
        <v>#REF!</v>
      </c>
      <c r="O358" s="9">
        <f t="shared" si="20"/>
        <v>0</v>
      </c>
      <c r="P358" s="9">
        <f t="shared" si="21"/>
        <v>23392.963233754792</v>
      </c>
      <c r="Q358" s="9" t="str">
        <f t="shared" si="22"/>
        <v/>
      </c>
      <c r="R358" s="9">
        <f t="shared" si="23"/>
        <v>116420.40572857855</v>
      </c>
    </row>
    <row r="359" spans="1:18" ht="15.5">
      <c r="A359" s="7" t="s">
        <v>18</v>
      </c>
      <c r="B359" s="7" t="s">
        <v>19</v>
      </c>
      <c r="C359" s="8">
        <v>2023</v>
      </c>
      <c r="D359" s="9">
        <v>6.3096240000000003</v>
      </c>
      <c r="E359" s="9">
        <v>3.0444765090942401</v>
      </c>
      <c r="F359" s="9"/>
      <c r="G359" s="9">
        <v>2.3767356872558598</v>
      </c>
      <c r="H359" s="9">
        <v>71562.3046875</v>
      </c>
      <c r="I359" s="9">
        <v>359328.8125</v>
      </c>
      <c r="J359" s="9">
        <v>0.98033159971237205</v>
      </c>
      <c r="K359" s="9">
        <v>0.521345615386963</v>
      </c>
      <c r="L359" s="9" t="e">
        <f>IF(OR(OIT!#REF!="",OIT!#REF!=""),"",OIT!#REF!-OIT!#REF!)</f>
        <v>#REF!</v>
      </c>
      <c r="M359" s="9" t="e">
        <f>IF(OR(OIT!#REF!="",OIT!#REF!=""),"",OIT!#REF!-OIT!#REF!)</f>
        <v>#REF!</v>
      </c>
      <c r="N359" s="9" t="e">
        <f>IF(OR(OIT!#REF!="",OIT!#REF!=""),"",OIT!#REF!-OIT!#REF!)</f>
        <v>#REF!</v>
      </c>
      <c r="O359" s="9">
        <f t="shared" si="20"/>
        <v>0</v>
      </c>
      <c r="P359" s="9">
        <f t="shared" si="21"/>
        <v>23505.618937684118</v>
      </c>
      <c r="Q359" s="9" t="str">
        <f t="shared" si="22"/>
        <v/>
      </c>
      <c r="R359" s="9">
        <f t="shared" si="23"/>
        <v>118026.46905851924</v>
      </c>
    </row>
    <row r="360" spans="1:18" ht="15.5">
      <c r="A360" s="7" t="s">
        <v>18</v>
      </c>
      <c r="B360" s="7" t="s">
        <v>19</v>
      </c>
      <c r="C360" s="8">
        <v>2024</v>
      </c>
      <c r="D360" s="9"/>
      <c r="E360" s="9"/>
      <c r="F360" s="9"/>
      <c r="G360" s="9"/>
      <c r="H360" s="9"/>
      <c r="I360" s="9"/>
      <c r="J360" s="9"/>
      <c r="K360" s="9"/>
      <c r="L360" s="9" t="e">
        <f>IF(OR(OIT!#REF!="",OIT!#REF!=""),"",OIT!#REF!-OIT!#REF!)</f>
        <v>#REF!</v>
      </c>
      <c r="M360" s="9" t="e">
        <f>IF(OR(OIT!#REF!="",OIT!#REF!=""),"",OIT!#REF!-OIT!#REF!)</f>
        <v>#REF!</v>
      </c>
      <c r="N360" s="9" t="e">
        <f>IF(OR(OIT!#REF!="",OIT!#REF!=""),"",OIT!#REF!-OIT!#REF!)</f>
        <v>#REF!</v>
      </c>
      <c r="O360" s="9">
        <f t="shared" si="20"/>
        <v>0</v>
      </c>
      <c r="P360" s="9" t="str">
        <f t="shared" si="21"/>
        <v/>
      </c>
      <c r="Q360" s="9" t="str">
        <f t="shared" si="22"/>
        <v/>
      </c>
      <c r="R360" s="9" t="str">
        <f t="shared" si="23"/>
        <v/>
      </c>
    </row>
    <row r="361" spans="1:18" ht="15.5">
      <c r="A361" s="7" t="s">
        <v>18</v>
      </c>
      <c r="B361" s="7" t="s">
        <v>19</v>
      </c>
      <c r="C361" s="8">
        <v>2025</v>
      </c>
      <c r="D361" s="9"/>
      <c r="E361" s="9"/>
      <c r="F361" s="9"/>
      <c r="G361" s="9"/>
      <c r="H361" s="9"/>
      <c r="I361" s="9"/>
      <c r="J361" s="9"/>
      <c r="K361" s="9"/>
      <c r="L361" s="9" t="e">
        <f>IF(OR(OIT!#REF!="",OIT!#REF!=""),"",OIT!#REF!-OIT!#REF!)</f>
        <v>#REF!</v>
      </c>
      <c r="M361" s="9" t="e">
        <f>IF(OR(OIT!#REF!="",OIT!#REF!=""),"",OIT!#REF!-OIT!#REF!)</f>
        <v>#REF!</v>
      </c>
      <c r="N361" s="9" t="e">
        <f>IF(OR(OIT!#REF!="",OIT!#REF!=""),"",OIT!#REF!-OIT!#REF!)</f>
        <v>#REF!</v>
      </c>
      <c r="O361" s="9">
        <f t="shared" si="20"/>
        <v>0</v>
      </c>
      <c r="P361" s="9" t="str">
        <f t="shared" si="21"/>
        <v/>
      </c>
      <c r="Q361" s="9" t="str">
        <f t="shared" si="22"/>
        <v/>
      </c>
      <c r="R361" s="9" t="str">
        <f t="shared" si="23"/>
        <v/>
      </c>
    </row>
    <row r="362" spans="1:18" ht="15.5">
      <c r="A362" s="7" t="s">
        <v>20</v>
      </c>
      <c r="B362" s="7" t="s">
        <v>21</v>
      </c>
      <c r="C362" s="8">
        <v>1990</v>
      </c>
      <c r="D362" s="9">
        <v>9.0247729999999997</v>
      </c>
      <c r="E362" s="9">
        <v>3.0830981731414799</v>
      </c>
      <c r="F362" s="9"/>
      <c r="G362" s="9">
        <v>1.5053005218505899</v>
      </c>
      <c r="H362" s="9">
        <v>67370.1796875</v>
      </c>
      <c r="I362" s="9">
        <v>278032.46875</v>
      </c>
      <c r="J362" s="9">
        <v>1.0090684890747099</v>
      </c>
      <c r="K362" s="9">
        <v>0.46268069744110102</v>
      </c>
      <c r="L362" s="9" t="e">
        <f>IF(OR(OIT!#REF!="",OIT!#REF!=""),"",OIT!#REF!-OIT!#REF!)</f>
        <v>#REF!</v>
      </c>
      <c r="M362" s="9" t="e">
        <f>IF(OR(OIT!#REF!="",OIT!#REF!=""),"",OIT!#REF!-OIT!#REF!)</f>
        <v>#REF!</v>
      </c>
      <c r="N362" s="9" t="e">
        <f>IF(OR(OIT!#REF!="",OIT!#REF!=""),"",OIT!#REF!-OIT!#REF!)</f>
        <v>#REF!</v>
      </c>
      <c r="O362" s="9">
        <f t="shared" si="20"/>
        <v>0</v>
      </c>
      <c r="P362" s="9">
        <f t="shared" si="21"/>
        <v>21851.454577216427</v>
      </c>
      <c r="Q362" s="9" t="str">
        <f t="shared" si="22"/>
        <v/>
      </c>
      <c r="R362" s="9">
        <f t="shared" si="23"/>
        <v>90179.57039840307</v>
      </c>
    </row>
    <row r="363" spans="1:18" ht="15.5">
      <c r="A363" s="7" t="s">
        <v>20</v>
      </c>
      <c r="B363" s="7" t="s">
        <v>21</v>
      </c>
      <c r="C363" s="8">
        <v>1991</v>
      </c>
      <c r="D363" s="9">
        <v>9.2725840000000002</v>
      </c>
      <c r="E363" s="9">
        <v>3.1680972576141402</v>
      </c>
      <c r="F363" s="9"/>
      <c r="G363" s="9">
        <v>1.5198570489883401</v>
      </c>
      <c r="H363" s="9">
        <v>69834.7421875</v>
      </c>
      <c r="I363" s="9">
        <v>283714.4375</v>
      </c>
      <c r="J363" s="9">
        <v>1.0196019411087001</v>
      </c>
      <c r="K363" s="9">
        <v>0.46268069744110102</v>
      </c>
      <c r="L363" s="9" t="e">
        <f>IF(OR(OIT!#REF!="",OIT!#REF!=""),"",OIT!#REF!-OIT!#REF!)</f>
        <v>#REF!</v>
      </c>
      <c r="M363" s="9" t="e">
        <f>IF(OR(OIT!#REF!="",OIT!#REF!=""),"",OIT!#REF!-OIT!#REF!)</f>
        <v>#REF!</v>
      </c>
      <c r="N363" s="9" t="e">
        <f>IF(OR(OIT!#REF!="",OIT!#REF!=""),"",OIT!#REF!-OIT!#REF!)</f>
        <v>#REF!</v>
      </c>
      <c r="O363" s="9">
        <f t="shared" si="20"/>
        <v>0</v>
      </c>
      <c r="P363" s="9">
        <f t="shared" si="21"/>
        <v>22043.118158592071</v>
      </c>
      <c r="Q363" s="9" t="str">
        <f t="shared" si="22"/>
        <v/>
      </c>
      <c r="R363" s="9">
        <f t="shared" si="23"/>
        <v>89553.575673261454</v>
      </c>
    </row>
    <row r="364" spans="1:18" ht="15.5">
      <c r="A364" s="7" t="s">
        <v>20</v>
      </c>
      <c r="B364" s="7" t="s">
        <v>21</v>
      </c>
      <c r="C364" s="8">
        <v>1992</v>
      </c>
      <c r="D364" s="9">
        <v>9.5222660000000001</v>
      </c>
      <c r="E364" s="9">
        <v>3.2631320953369101</v>
      </c>
      <c r="F364" s="9"/>
      <c r="G364" s="9">
        <v>1.5345542430877701</v>
      </c>
      <c r="H364" s="9">
        <v>73213.5859375</v>
      </c>
      <c r="I364" s="9">
        <v>294761.53125</v>
      </c>
      <c r="J364" s="9">
        <v>1.03038382530212</v>
      </c>
      <c r="K364" s="9">
        <v>0.46268069744110102</v>
      </c>
      <c r="L364" s="9" t="e">
        <f>IF(OR(OIT!#REF!="",OIT!#REF!=""),"",OIT!#REF!-OIT!#REF!)</f>
        <v>#REF!</v>
      </c>
      <c r="M364" s="9" t="e">
        <f>IF(OR(OIT!#REF!="",OIT!#REF!=""),"",OIT!#REF!-OIT!#REF!)</f>
        <v>#REF!</v>
      </c>
      <c r="N364" s="9" t="e">
        <f>IF(OR(OIT!#REF!="",OIT!#REF!=""),"",OIT!#REF!-OIT!#REF!)</f>
        <v>#REF!</v>
      </c>
      <c r="O364" s="9">
        <f t="shared" si="20"/>
        <v>0</v>
      </c>
      <c r="P364" s="9">
        <f t="shared" si="21"/>
        <v>22436.598886733354</v>
      </c>
      <c r="Q364" s="9" t="str">
        <f t="shared" si="22"/>
        <v/>
      </c>
      <c r="R364" s="9">
        <f t="shared" si="23"/>
        <v>90330.860853356484</v>
      </c>
    </row>
    <row r="365" spans="1:18" ht="15.5">
      <c r="A365" s="7" t="s">
        <v>20</v>
      </c>
      <c r="B365" s="7" t="s">
        <v>21</v>
      </c>
      <c r="C365" s="8">
        <v>1993</v>
      </c>
      <c r="D365" s="9">
        <v>9.7797610000000006</v>
      </c>
      <c r="E365" s="9">
        <v>3.3592004776000999</v>
      </c>
      <c r="F365" s="9"/>
      <c r="G365" s="9">
        <v>1.54939353466034</v>
      </c>
      <c r="H365" s="9">
        <v>76089.578125</v>
      </c>
      <c r="I365" s="9">
        <v>306824.3125</v>
      </c>
      <c r="J365" s="9">
        <v>1.0233405828476001</v>
      </c>
      <c r="K365" s="9">
        <v>0.46268069744110102</v>
      </c>
      <c r="L365" s="9" t="e">
        <f>IF(OR(OIT!#REF!="",OIT!#REF!=""),"",OIT!#REF!-OIT!#REF!)</f>
        <v>#REF!</v>
      </c>
      <c r="M365" s="9" t="e">
        <f>IF(OR(OIT!#REF!="",OIT!#REF!=""),"",OIT!#REF!-OIT!#REF!)</f>
        <v>#REF!</v>
      </c>
      <c r="N365" s="9" t="e">
        <f>IF(OR(OIT!#REF!="",OIT!#REF!=""),"",OIT!#REF!-OIT!#REF!)</f>
        <v>#REF!</v>
      </c>
      <c r="O365" s="9">
        <f t="shared" si="20"/>
        <v>0</v>
      </c>
      <c r="P365" s="9">
        <f t="shared" si="21"/>
        <v>22651.097674099037</v>
      </c>
      <c r="Q365" s="9" t="str">
        <f t="shared" si="22"/>
        <v/>
      </c>
      <c r="R365" s="9">
        <f t="shared" si="23"/>
        <v>91338.493949966112</v>
      </c>
    </row>
    <row r="366" spans="1:18" ht="15.5">
      <c r="A366" s="7" t="s">
        <v>20</v>
      </c>
      <c r="B366" s="7" t="s">
        <v>21</v>
      </c>
      <c r="C366" s="8">
        <v>1994</v>
      </c>
      <c r="D366" s="9">
        <v>10.043718</v>
      </c>
      <c r="E366" s="9">
        <v>3.4553375244140598</v>
      </c>
      <c r="F366" s="9"/>
      <c r="G366" s="9">
        <v>1.56437647342682</v>
      </c>
      <c r="H366" s="9">
        <v>79158.3671875</v>
      </c>
      <c r="I366" s="9">
        <v>317410.1875</v>
      </c>
      <c r="J366" s="9">
        <v>1.0208503007888801</v>
      </c>
      <c r="K366" s="9">
        <v>0.46268069744110102</v>
      </c>
      <c r="L366" s="9" t="e">
        <f>IF(OR(OIT!#REF!="",OIT!#REF!=""),"",OIT!#REF!-OIT!#REF!)</f>
        <v>#REF!</v>
      </c>
      <c r="M366" s="9" t="e">
        <f>IF(OR(OIT!#REF!="",OIT!#REF!=""),"",OIT!#REF!-OIT!#REF!)</f>
        <v>#REF!</v>
      </c>
      <c r="N366" s="9" t="e">
        <f>IF(OR(OIT!#REF!="",OIT!#REF!=""),"",OIT!#REF!-OIT!#REF!)</f>
        <v>#REF!</v>
      </c>
      <c r="O366" s="9">
        <f t="shared" si="20"/>
        <v>0</v>
      </c>
      <c r="P366" s="9">
        <f t="shared" si="21"/>
        <v>22909.011530190037</v>
      </c>
      <c r="Q366" s="9" t="str">
        <f t="shared" si="22"/>
        <v/>
      </c>
      <c r="R366" s="9">
        <f t="shared" si="23"/>
        <v>91860.834218742486</v>
      </c>
    </row>
    <row r="367" spans="1:18" ht="15.5">
      <c r="A367" s="7" t="s">
        <v>20</v>
      </c>
      <c r="B367" s="7" t="s">
        <v>21</v>
      </c>
      <c r="C367" s="8">
        <v>1995</v>
      </c>
      <c r="D367" s="9">
        <v>10.312996</v>
      </c>
      <c r="E367" s="9">
        <v>3.5539534091949498</v>
      </c>
      <c r="F367" s="9"/>
      <c r="G367" s="9">
        <v>1.5795042514801001</v>
      </c>
      <c r="H367" s="9">
        <v>83079.8125</v>
      </c>
      <c r="I367" s="9">
        <v>329606.15625</v>
      </c>
      <c r="J367" s="9">
        <v>1.02784383296967</v>
      </c>
      <c r="K367" s="9">
        <v>0.46268069744110102</v>
      </c>
      <c r="L367" s="9" t="e">
        <f>IF(OR(OIT!#REF!="",OIT!#REF!=""),"",OIT!#REF!-OIT!#REF!)</f>
        <v>#REF!</v>
      </c>
      <c r="M367" s="9" t="e">
        <f>IF(OR(OIT!#REF!="",OIT!#REF!=""),"",OIT!#REF!-OIT!#REF!)</f>
        <v>#REF!</v>
      </c>
      <c r="N367" s="9" t="e">
        <f>IF(OR(OIT!#REF!="",OIT!#REF!=""),"",OIT!#REF!-OIT!#REF!)</f>
        <v>#REF!</v>
      </c>
      <c r="O367" s="9">
        <f t="shared" si="20"/>
        <v>0</v>
      </c>
      <c r="P367" s="9">
        <f t="shared" si="21"/>
        <v>23376.730906221823</v>
      </c>
      <c r="Q367" s="9" t="str">
        <f t="shared" si="22"/>
        <v/>
      </c>
      <c r="R367" s="9">
        <f t="shared" si="23"/>
        <v>92743.522016137853</v>
      </c>
    </row>
    <row r="368" spans="1:18" ht="15.5">
      <c r="A368" s="7" t="s">
        <v>20</v>
      </c>
      <c r="B368" s="7" t="s">
        <v>21</v>
      </c>
      <c r="C368" s="8">
        <v>1996</v>
      </c>
      <c r="D368" s="9">
        <v>10.583526000000001</v>
      </c>
      <c r="E368" s="9">
        <v>3.64873170852661</v>
      </c>
      <c r="F368" s="9"/>
      <c r="G368" s="9">
        <v>1.5936143398284901</v>
      </c>
      <c r="H368" s="9">
        <v>85524.5078125</v>
      </c>
      <c r="I368" s="9">
        <v>340624.875</v>
      </c>
      <c r="J368" s="9">
        <v>1.02095627784729</v>
      </c>
      <c r="K368" s="9">
        <v>0.46268069744110102</v>
      </c>
      <c r="L368" s="9" t="e">
        <f>IF(OR(OIT!#REF!="",OIT!#REF!=""),"",OIT!#REF!-OIT!#REF!)</f>
        <v>#REF!</v>
      </c>
      <c r="M368" s="9" t="e">
        <f>IF(OR(OIT!#REF!="",OIT!#REF!=""),"",OIT!#REF!-OIT!#REF!)</f>
        <v>#REF!</v>
      </c>
      <c r="N368" s="9" t="e">
        <f>IF(OR(OIT!#REF!="",OIT!#REF!=""),"",OIT!#REF!-OIT!#REF!)</f>
        <v>#REF!</v>
      </c>
      <c r="O368" s="9">
        <f t="shared" si="20"/>
        <v>0</v>
      </c>
      <c r="P368" s="9">
        <f t="shared" si="21"/>
        <v>23439.516699087628</v>
      </c>
      <c r="Q368" s="9" t="str">
        <f t="shared" si="22"/>
        <v/>
      </c>
      <c r="R368" s="9">
        <f t="shared" si="23"/>
        <v>93354.322052236428</v>
      </c>
    </row>
    <row r="369" spans="1:18" ht="15.5">
      <c r="A369" s="7" t="s">
        <v>20</v>
      </c>
      <c r="B369" s="7" t="s">
        <v>21</v>
      </c>
      <c r="C369" s="8">
        <v>1997</v>
      </c>
      <c r="D369" s="9">
        <v>10.857754</v>
      </c>
      <c r="E369" s="9">
        <v>3.7552952766418501</v>
      </c>
      <c r="F369" s="9"/>
      <c r="G369" s="9">
        <v>1.6078504323959399</v>
      </c>
      <c r="H369" s="9">
        <v>89201.484375</v>
      </c>
      <c r="I369" s="9">
        <v>357360.6875</v>
      </c>
      <c r="J369" s="9">
        <v>1.0166994333267201</v>
      </c>
      <c r="K369" s="9">
        <v>0.46268069744110102</v>
      </c>
      <c r="L369" s="9" t="e">
        <f>IF(OR(OIT!#REF!="",OIT!#REF!=""),"",OIT!#REF!-OIT!#REF!)</f>
        <v>#REF!</v>
      </c>
      <c r="M369" s="9" t="e">
        <f>IF(OR(OIT!#REF!="",OIT!#REF!=""),"",OIT!#REF!-OIT!#REF!)</f>
        <v>#REF!</v>
      </c>
      <c r="N369" s="9" t="e">
        <f>IF(OR(OIT!#REF!="",OIT!#REF!=""),"",OIT!#REF!-OIT!#REF!)</f>
        <v>#REF!</v>
      </c>
      <c r="O369" s="9">
        <f t="shared" si="20"/>
        <v>0</v>
      </c>
      <c r="P369" s="9">
        <f t="shared" si="21"/>
        <v>23753.520776339028</v>
      </c>
      <c r="Q369" s="9" t="str">
        <f t="shared" si="22"/>
        <v/>
      </c>
      <c r="R369" s="9">
        <f t="shared" si="23"/>
        <v>95161.807840465641</v>
      </c>
    </row>
    <row r="370" spans="1:18" ht="15.5">
      <c r="A370" s="7" t="s">
        <v>20</v>
      </c>
      <c r="B370" s="7" t="s">
        <v>21</v>
      </c>
      <c r="C370" s="8">
        <v>1998</v>
      </c>
      <c r="D370" s="9">
        <v>11.139144999999999</v>
      </c>
      <c r="E370" s="9">
        <v>3.8713939189910902</v>
      </c>
      <c r="F370" s="9"/>
      <c r="G370" s="9">
        <v>1.62221384048462</v>
      </c>
      <c r="H370" s="9">
        <v>93454.84375</v>
      </c>
      <c r="I370" s="9">
        <v>379145.09375</v>
      </c>
      <c r="J370" s="9">
        <v>1.0080662965774501</v>
      </c>
      <c r="K370" s="9">
        <v>0.46268069744110102</v>
      </c>
      <c r="L370" s="9" t="e">
        <f>IF(OR(OIT!#REF!="",OIT!#REF!=""),"",OIT!#REF!-OIT!#REF!)</f>
        <v>#REF!</v>
      </c>
      <c r="M370" s="9" t="e">
        <f>IF(OR(OIT!#REF!="",OIT!#REF!=""),"",OIT!#REF!-OIT!#REF!)</f>
        <v>#REF!</v>
      </c>
      <c r="N370" s="9" t="e">
        <f>IF(OR(OIT!#REF!="",OIT!#REF!=""),"",OIT!#REF!-OIT!#REF!)</f>
        <v>#REF!</v>
      </c>
      <c r="O370" s="9">
        <f t="shared" si="20"/>
        <v>0</v>
      </c>
      <c r="P370" s="9">
        <f t="shared" si="21"/>
        <v>24139.84360815314</v>
      </c>
      <c r="Q370" s="9" t="str">
        <f t="shared" si="22"/>
        <v/>
      </c>
      <c r="R370" s="9">
        <f t="shared" si="23"/>
        <v>97935.03365547664</v>
      </c>
    </row>
    <row r="371" spans="1:18" ht="15.5">
      <c r="A371" s="7" t="s">
        <v>20</v>
      </c>
      <c r="B371" s="7" t="s">
        <v>21</v>
      </c>
      <c r="C371" s="8">
        <v>1999</v>
      </c>
      <c r="D371" s="9">
        <v>11.422965</v>
      </c>
      <c r="E371" s="9">
        <v>3.9899222850799601</v>
      </c>
      <c r="F371" s="9"/>
      <c r="G371" s="9">
        <v>1.6367055177688601</v>
      </c>
      <c r="H371" s="9">
        <v>97328.59375</v>
      </c>
      <c r="I371" s="9">
        <v>402408.6875</v>
      </c>
      <c r="J371" s="9">
        <v>0.99408167600631703</v>
      </c>
      <c r="K371" s="9">
        <v>0.46268069744110102</v>
      </c>
      <c r="L371" s="9" t="e">
        <f>IF(OR(OIT!#REF!="",OIT!#REF!=""),"",OIT!#REF!-OIT!#REF!)</f>
        <v>#REF!</v>
      </c>
      <c r="M371" s="9" t="e">
        <f>IF(OR(OIT!#REF!="",OIT!#REF!=""),"",OIT!#REF!-OIT!#REF!)</f>
        <v>#REF!</v>
      </c>
      <c r="N371" s="9" t="e">
        <f>IF(OR(OIT!#REF!="",OIT!#REF!=""),"",OIT!#REF!-OIT!#REF!)</f>
        <v>#REF!</v>
      </c>
      <c r="O371" s="9">
        <f t="shared" si="20"/>
        <v>0</v>
      </c>
      <c r="P371" s="9">
        <f t="shared" si="21"/>
        <v>24393.606390268196</v>
      </c>
      <c r="Q371" s="9" t="str">
        <f t="shared" si="22"/>
        <v/>
      </c>
      <c r="R371" s="9">
        <f t="shared" si="23"/>
        <v>100856.27206444085</v>
      </c>
    </row>
    <row r="372" spans="1:18" ht="15.5">
      <c r="A372" s="7" t="s">
        <v>20</v>
      </c>
      <c r="B372" s="7" t="s">
        <v>21</v>
      </c>
      <c r="C372" s="8">
        <v>2000</v>
      </c>
      <c r="D372" s="9">
        <v>11.697592</v>
      </c>
      <c r="E372" s="9">
        <v>4.1153011322021502</v>
      </c>
      <c r="F372" s="9"/>
      <c r="G372" s="9">
        <v>1.6513265371322601</v>
      </c>
      <c r="H372" s="9">
        <v>100840.6171875</v>
      </c>
      <c r="I372" s="9">
        <v>420346.9375</v>
      </c>
      <c r="J372" s="9">
        <v>0.98436552286148105</v>
      </c>
      <c r="K372" s="9">
        <v>0.46268069744110102</v>
      </c>
      <c r="L372" s="9" t="e">
        <f>IF(OR(OIT!#REF!="",OIT!#REF!=""),"",OIT!#REF!-OIT!#REF!)</f>
        <v>#REF!</v>
      </c>
      <c r="M372" s="9" t="e">
        <f>IF(OR(OIT!#REF!="",OIT!#REF!=""),"",OIT!#REF!-OIT!#REF!)</f>
        <v>#REF!</v>
      </c>
      <c r="N372" s="9" t="e">
        <f>IF(OR(OIT!#REF!="",OIT!#REF!=""),"",OIT!#REF!-OIT!#REF!)</f>
        <v>#REF!</v>
      </c>
      <c r="O372" s="9">
        <f t="shared" si="20"/>
        <v>0</v>
      </c>
      <c r="P372" s="9">
        <f t="shared" si="21"/>
        <v>24503.824616484115</v>
      </c>
      <c r="Q372" s="9" t="str">
        <f t="shared" si="22"/>
        <v/>
      </c>
      <c r="R372" s="9">
        <f t="shared" si="23"/>
        <v>102142.44936070255</v>
      </c>
    </row>
    <row r="373" spans="1:18" ht="15.5">
      <c r="A373" s="7" t="s">
        <v>20</v>
      </c>
      <c r="B373" s="7" t="s">
        <v>21</v>
      </c>
      <c r="C373" s="8">
        <v>2001</v>
      </c>
      <c r="D373" s="9">
        <v>11.969422</v>
      </c>
      <c r="E373" s="9">
        <v>4.2330269813537598</v>
      </c>
      <c r="F373" s="9"/>
      <c r="G373" s="9">
        <v>1.6441173553466799</v>
      </c>
      <c r="H373" s="9">
        <v>103191.890625</v>
      </c>
      <c r="I373" s="9">
        <v>437673.96875</v>
      </c>
      <c r="J373" s="9">
        <v>0.97855353355407704</v>
      </c>
      <c r="K373" s="9">
        <v>0.46268069744110102</v>
      </c>
      <c r="L373" s="9" t="e">
        <f>IF(OR(OIT!#REF!="",OIT!#REF!=""),"",OIT!#REF!-OIT!#REF!)</f>
        <v>#REF!</v>
      </c>
      <c r="M373" s="9" t="e">
        <f>IF(OR(OIT!#REF!="",OIT!#REF!=""),"",OIT!#REF!-OIT!#REF!)</f>
        <v>#REF!</v>
      </c>
      <c r="N373" s="9" t="e">
        <f>IF(OR(OIT!#REF!="",OIT!#REF!=""),"",OIT!#REF!-OIT!#REF!)</f>
        <v>#REF!</v>
      </c>
      <c r="O373" s="9">
        <f t="shared" si="20"/>
        <v>0</v>
      </c>
      <c r="P373" s="9">
        <f t="shared" si="21"/>
        <v>24377.801294334844</v>
      </c>
      <c r="Q373" s="9" t="str">
        <f t="shared" si="22"/>
        <v/>
      </c>
      <c r="R373" s="9">
        <f t="shared" si="23"/>
        <v>103395.0340212639</v>
      </c>
    </row>
    <row r="374" spans="1:18" ht="15.5">
      <c r="A374" s="7" t="s">
        <v>20</v>
      </c>
      <c r="B374" s="7" t="s">
        <v>21</v>
      </c>
      <c r="C374" s="8">
        <v>2002</v>
      </c>
      <c r="D374" s="9">
        <v>12.246915</v>
      </c>
      <c r="E374" s="9">
        <v>4.3531599044799796</v>
      </c>
      <c r="F374" s="9"/>
      <c r="G374" s="9">
        <v>1.63693964481354</v>
      </c>
      <c r="H374" s="9">
        <v>107181.9375</v>
      </c>
      <c r="I374" s="9">
        <v>457806.75</v>
      </c>
      <c r="J374" s="9">
        <v>0.98549222946167003</v>
      </c>
      <c r="K374" s="9">
        <v>0.45402625203132602</v>
      </c>
      <c r="L374" s="9" t="e">
        <f>IF(OR(OIT!#REF!="",OIT!#REF!=""),"",OIT!#REF!-OIT!#REF!)</f>
        <v>#REF!</v>
      </c>
      <c r="M374" s="9" t="e">
        <f>IF(OR(OIT!#REF!="",OIT!#REF!=""),"",OIT!#REF!-OIT!#REF!)</f>
        <v>#REF!</v>
      </c>
      <c r="N374" s="9" t="e">
        <f>IF(OR(OIT!#REF!="",OIT!#REF!=""),"",OIT!#REF!-OIT!#REF!)</f>
        <v>#REF!</v>
      </c>
      <c r="O374" s="9">
        <f t="shared" si="20"/>
        <v>0</v>
      </c>
      <c r="P374" s="9">
        <f t="shared" si="21"/>
        <v>24621.640337561585</v>
      </c>
      <c r="Q374" s="9" t="str">
        <f t="shared" si="22"/>
        <v/>
      </c>
      <c r="R374" s="9">
        <f t="shared" si="23"/>
        <v>105166.53650348476</v>
      </c>
    </row>
    <row r="375" spans="1:18" ht="15.5">
      <c r="A375" s="7" t="s">
        <v>20</v>
      </c>
      <c r="B375" s="7" t="s">
        <v>21</v>
      </c>
      <c r="C375" s="8">
        <v>2003</v>
      </c>
      <c r="D375" s="9">
        <v>12.525842000000001</v>
      </c>
      <c r="E375" s="9">
        <v>4.4724206924438503</v>
      </c>
      <c r="F375" s="9"/>
      <c r="G375" s="9">
        <v>1.62979328632355</v>
      </c>
      <c r="H375" s="9">
        <v>109894.4765625</v>
      </c>
      <c r="I375" s="9">
        <v>476254.15625</v>
      </c>
      <c r="J375" s="9">
        <v>0.98188829421997104</v>
      </c>
      <c r="K375" s="9">
        <v>0.45383197069168102</v>
      </c>
      <c r="L375" s="9" t="e">
        <f>IF(OR(OIT!#REF!="",OIT!#REF!=""),"",OIT!#REF!-OIT!#REF!)</f>
        <v>#REF!</v>
      </c>
      <c r="M375" s="9" t="e">
        <f>IF(OR(OIT!#REF!="",OIT!#REF!=""),"",OIT!#REF!-OIT!#REF!)</f>
        <v>#REF!</v>
      </c>
      <c r="N375" s="9" t="e">
        <f>IF(OR(OIT!#REF!="",OIT!#REF!=""),"",OIT!#REF!-OIT!#REF!)</f>
        <v>#REF!</v>
      </c>
      <c r="O375" s="9">
        <f t="shared" si="20"/>
        <v>0</v>
      </c>
      <c r="P375" s="9">
        <f t="shared" si="21"/>
        <v>24571.587540538527</v>
      </c>
      <c r="Q375" s="9" t="str">
        <f t="shared" si="22"/>
        <v/>
      </c>
      <c r="R375" s="9">
        <f t="shared" si="23"/>
        <v>106486.88685629034</v>
      </c>
    </row>
    <row r="376" spans="1:18" ht="15.5">
      <c r="A376" s="7" t="s">
        <v>20</v>
      </c>
      <c r="B376" s="7" t="s">
        <v>21</v>
      </c>
      <c r="C376" s="8">
        <v>2004</v>
      </c>
      <c r="D376" s="9">
        <v>12.807402</v>
      </c>
      <c r="E376" s="9">
        <v>4.5900449752807599</v>
      </c>
      <c r="F376" s="9"/>
      <c r="G376" s="9">
        <v>1.6226780414581301</v>
      </c>
      <c r="H376" s="9">
        <v>113358.4453125</v>
      </c>
      <c r="I376" s="9">
        <v>493587.09375</v>
      </c>
      <c r="J376" s="9">
        <v>0.98080897331237804</v>
      </c>
      <c r="K376" s="9">
        <v>0.448078513145447</v>
      </c>
      <c r="L376" s="9" t="e">
        <f>IF(OR(OIT!#REF!="",OIT!#REF!=""),"",OIT!#REF!-OIT!#REF!)</f>
        <v>#REF!</v>
      </c>
      <c r="M376" s="9" t="e">
        <f>IF(OR(OIT!#REF!="",OIT!#REF!=""),"",OIT!#REF!-OIT!#REF!)</f>
        <v>#REF!</v>
      </c>
      <c r="N376" s="9" t="e">
        <f>IF(OR(OIT!#REF!="",OIT!#REF!=""),"",OIT!#REF!-OIT!#REF!)</f>
        <v>#REF!</v>
      </c>
      <c r="O376" s="9">
        <f t="shared" si="20"/>
        <v>0</v>
      </c>
      <c r="P376" s="9">
        <f t="shared" si="21"/>
        <v>24696.587053717525</v>
      </c>
      <c r="Q376" s="9" t="str">
        <f t="shared" si="22"/>
        <v/>
      </c>
      <c r="R376" s="9">
        <f t="shared" si="23"/>
        <v>107534.26086414517</v>
      </c>
    </row>
    <row r="377" spans="1:18" ht="15.5">
      <c r="A377" s="7" t="s">
        <v>20</v>
      </c>
      <c r="B377" s="7" t="s">
        <v>21</v>
      </c>
      <c r="C377" s="8">
        <v>2005</v>
      </c>
      <c r="D377" s="9">
        <v>13.087629</v>
      </c>
      <c r="E377" s="9">
        <v>4.6759343147277797</v>
      </c>
      <c r="F377" s="9">
        <v>2096.77</v>
      </c>
      <c r="G377" s="9">
        <v>1.61559391021729</v>
      </c>
      <c r="H377" s="9">
        <v>117054.09375</v>
      </c>
      <c r="I377" s="9">
        <v>511665.125</v>
      </c>
      <c r="J377" s="9">
        <v>0.98573070764541604</v>
      </c>
      <c r="K377" s="9">
        <v>0.44526296854019198</v>
      </c>
      <c r="L377" s="9" t="e">
        <f>IF(OR(OIT!#REF!="",OIT!#REF!=""),"",OIT!#REF!-OIT!#REF!)</f>
        <v>#REF!</v>
      </c>
      <c r="M377" s="9" t="e">
        <f>IF(OR(OIT!#REF!="",OIT!#REF!=""),"",OIT!#REF!-OIT!#REF!)</f>
        <v>#REF!</v>
      </c>
      <c r="N377" s="9" t="e">
        <f>IF(OR(OIT!#REF!="",OIT!#REF!=""),"",OIT!#REF!-OIT!#REF!)</f>
        <v>#REF!</v>
      </c>
      <c r="O377" s="9">
        <f t="shared" si="20"/>
        <v>9804.3587930917656</v>
      </c>
      <c r="P377" s="9">
        <f t="shared" si="21"/>
        <v>25033.305831802423</v>
      </c>
      <c r="Q377" s="9">
        <f t="shared" si="22"/>
        <v>11.938985120829861</v>
      </c>
      <c r="R377" s="9">
        <f t="shared" si="23"/>
        <v>109425.2165579849</v>
      </c>
    </row>
    <row r="378" spans="1:18" ht="15.5">
      <c r="A378" s="7" t="s">
        <v>20</v>
      </c>
      <c r="B378" s="7" t="s">
        <v>21</v>
      </c>
      <c r="C378" s="8">
        <v>2006</v>
      </c>
      <c r="D378" s="9">
        <v>13.367459</v>
      </c>
      <c r="E378" s="9">
        <v>4.77657270431519</v>
      </c>
      <c r="F378" s="9">
        <v>2104.54</v>
      </c>
      <c r="G378" s="9">
        <v>1.6471523046493499</v>
      </c>
      <c r="H378" s="9">
        <v>123351.140625</v>
      </c>
      <c r="I378" s="9">
        <v>535415.3125</v>
      </c>
      <c r="J378" s="9">
        <v>0.99059253931045499</v>
      </c>
      <c r="K378" s="9">
        <v>0.44206324219703702</v>
      </c>
      <c r="L378" s="9" t="e">
        <f>IF(OR(OIT!#REF!="",OIT!#REF!=""),"",OIT!#REF!-OIT!#REF!)</f>
        <v>#REF!</v>
      </c>
      <c r="M378" s="9" t="e">
        <f>IF(OR(OIT!#REF!="",OIT!#REF!=""),"",OIT!#REF!-OIT!#REF!)</f>
        <v>#REF!</v>
      </c>
      <c r="N378" s="9" t="e">
        <f>IF(OR(OIT!#REF!="",OIT!#REF!=""),"",OIT!#REF!-OIT!#REF!)</f>
        <v>#REF!</v>
      </c>
      <c r="O378" s="9">
        <f t="shared" si="20"/>
        <v>10052.488319139489</v>
      </c>
      <c r="P378" s="9">
        <f t="shared" si="21"/>
        <v>25824.194094976028</v>
      </c>
      <c r="Q378" s="9">
        <f t="shared" si="22"/>
        <v>12.270707183030984</v>
      </c>
      <c r="R378" s="9">
        <f t="shared" si="23"/>
        <v>112091.94241224507</v>
      </c>
    </row>
    <row r="379" spans="1:18" ht="15.5">
      <c r="A379" s="7" t="s">
        <v>20</v>
      </c>
      <c r="B379" s="7" t="s">
        <v>21</v>
      </c>
      <c r="C379" s="8">
        <v>2007</v>
      </c>
      <c r="D379" s="9">
        <v>13.65204</v>
      </c>
      <c r="E379" s="9">
        <v>4.8862714767456099</v>
      </c>
      <c r="F379" s="9">
        <v>2089.19</v>
      </c>
      <c r="G379" s="9">
        <v>1.67932713031769</v>
      </c>
      <c r="H379" s="9">
        <v>131127.515625</v>
      </c>
      <c r="I379" s="9">
        <v>560321.625</v>
      </c>
      <c r="J379" s="9">
        <v>1.00984311103821</v>
      </c>
      <c r="K379" s="9">
        <v>0.432137280702591</v>
      </c>
      <c r="L379" s="9" t="e">
        <f>IF(OR(OIT!#REF!="",OIT!#REF!=""),"",OIT!#REF!-OIT!#REF!)</f>
        <v>#REF!</v>
      </c>
      <c r="M379" s="9" t="e">
        <f>IF(OR(OIT!#REF!="",OIT!#REF!=""),"",OIT!#REF!-OIT!#REF!)</f>
        <v>#REF!</v>
      </c>
      <c r="N379" s="9" t="e">
        <f>IF(OR(OIT!#REF!="",OIT!#REF!=""),"",OIT!#REF!-OIT!#REF!)</f>
        <v>#REF!</v>
      </c>
      <c r="O379" s="9">
        <f t="shared" si="20"/>
        <v>10208.349506502162</v>
      </c>
      <c r="P379" s="9">
        <f t="shared" si="21"/>
        <v>26835.90468705077</v>
      </c>
      <c r="Q379" s="9">
        <f t="shared" si="22"/>
        <v>12.845124037091297</v>
      </c>
      <c r="R379" s="9">
        <f t="shared" si="23"/>
        <v>114672.63488462362</v>
      </c>
    </row>
    <row r="380" spans="1:18" ht="15.5">
      <c r="A380" s="7" t="s">
        <v>20</v>
      </c>
      <c r="B380" s="7" t="s">
        <v>21</v>
      </c>
      <c r="C380" s="8">
        <v>2008</v>
      </c>
      <c r="D380" s="9">
        <v>13.935174</v>
      </c>
      <c r="E380" s="9">
        <v>4.98769283294678</v>
      </c>
      <c r="F380" s="9">
        <v>2085.92</v>
      </c>
      <c r="G380" s="9">
        <v>1.71139764785767</v>
      </c>
      <c r="H380" s="9">
        <v>135429.921875</v>
      </c>
      <c r="I380" s="9">
        <v>581454.1875</v>
      </c>
      <c r="J380" s="9">
        <v>1.0056462287902801</v>
      </c>
      <c r="K380" s="9">
        <v>0.42682287096977201</v>
      </c>
      <c r="L380" s="9" t="e">
        <f>IF(OR(OIT!#REF!="",OIT!#REF!=""),"",OIT!#REF!-OIT!#REF!)</f>
        <v>#REF!</v>
      </c>
      <c r="M380" s="9" t="e">
        <f>IF(OR(OIT!#REF!="",OIT!#REF!=""),"",OIT!#REF!-OIT!#REF!)</f>
        <v>#REF!</v>
      </c>
      <c r="N380" s="9" t="e">
        <f>IF(OR(OIT!#REF!="",OIT!#REF!=""),"",OIT!#REF!-OIT!#REF!)</f>
        <v>#REF!</v>
      </c>
      <c r="O380" s="9">
        <f t="shared" si="20"/>
        <v>10403.928234100347</v>
      </c>
      <c r="P380" s="9">
        <f t="shared" si="21"/>
        <v>27152.819231449466</v>
      </c>
      <c r="Q380" s="9">
        <f t="shared" si="22"/>
        <v>13.017191086642569</v>
      </c>
      <c r="R380" s="9">
        <f t="shared" si="23"/>
        <v>116577.78595729418</v>
      </c>
    </row>
    <row r="381" spans="1:18" ht="15.5">
      <c r="A381" s="7" t="s">
        <v>20</v>
      </c>
      <c r="B381" s="7" t="s">
        <v>21</v>
      </c>
      <c r="C381" s="8">
        <v>2009</v>
      </c>
      <c r="D381" s="9">
        <v>14.215611000000001</v>
      </c>
      <c r="E381" s="9">
        <v>5.0733728408813503</v>
      </c>
      <c r="F381" s="9">
        <v>2076.41</v>
      </c>
      <c r="G381" s="9">
        <v>1.7365345954895</v>
      </c>
      <c r="H381" s="9">
        <v>136142.546875</v>
      </c>
      <c r="I381" s="9">
        <v>596046.4375</v>
      </c>
      <c r="J381" s="9">
        <v>0.98672556877136197</v>
      </c>
      <c r="K381" s="9">
        <v>0.42513149976730302</v>
      </c>
      <c r="L381" s="9" t="e">
        <f>IF(OR(OIT!#REF!="",OIT!#REF!=""),"",OIT!#REF!-OIT!#REF!)</f>
        <v>#REF!</v>
      </c>
      <c r="M381" s="9" t="e">
        <f>IF(OR(OIT!#REF!="",OIT!#REF!=""),"",OIT!#REF!-OIT!#REF!)</f>
        <v>#REF!</v>
      </c>
      <c r="N381" s="9" t="e">
        <f>IF(OR(OIT!#REF!="",OIT!#REF!=""),"",OIT!#REF!-OIT!#REF!)</f>
        <v>#REF!</v>
      </c>
      <c r="O381" s="9">
        <f t="shared" si="20"/>
        <v>10534.402100534444</v>
      </c>
      <c r="P381" s="9">
        <f t="shared" si="21"/>
        <v>26834.721425943771</v>
      </c>
      <c r="Q381" s="9">
        <f t="shared" si="22"/>
        <v>12.923614038626175</v>
      </c>
      <c r="R381" s="9">
        <f t="shared" si="23"/>
        <v>117485.24230213177</v>
      </c>
    </row>
    <row r="382" spans="1:18" ht="15.5">
      <c r="A382" s="7" t="s">
        <v>20</v>
      </c>
      <c r="B382" s="7" t="s">
        <v>21</v>
      </c>
      <c r="C382" s="8">
        <v>2010</v>
      </c>
      <c r="D382" s="9">
        <v>14.500112</v>
      </c>
      <c r="E382" s="9">
        <v>5.1629714965820304</v>
      </c>
      <c r="F382" s="9">
        <v>2069.48</v>
      </c>
      <c r="G382" s="9">
        <v>1.76204073429108</v>
      </c>
      <c r="H382" s="9">
        <v>140048.984375</v>
      </c>
      <c r="I382" s="9">
        <v>609676.1875</v>
      </c>
      <c r="J382" s="9">
        <v>0.99050533771514904</v>
      </c>
      <c r="K382" s="9">
        <v>0.42377886176109297</v>
      </c>
      <c r="L382" s="9" t="e">
        <f>IF(OR(OIT!#REF!="",OIT!#REF!=""),"",OIT!#REF!-OIT!#REF!)</f>
        <v>#REF!</v>
      </c>
      <c r="M382" s="9" t="e">
        <f>IF(OR(OIT!#REF!="",OIT!#REF!=""),"",OIT!#REF!-OIT!#REF!)</f>
        <v>#REF!</v>
      </c>
      <c r="N382" s="9" t="e">
        <f>IF(OR(OIT!#REF!="",OIT!#REF!=""),"",OIT!#REF!-OIT!#REF!)</f>
        <v>#REF!</v>
      </c>
      <c r="O382" s="9">
        <f t="shared" si="20"/>
        <v>10684.66625274658</v>
      </c>
      <c r="P382" s="9">
        <f t="shared" si="21"/>
        <v>27125.655151827716</v>
      </c>
      <c r="Q382" s="9">
        <f t="shared" si="22"/>
        <v>13.107473931532422</v>
      </c>
      <c r="R382" s="9">
        <f t="shared" si="23"/>
        <v>118086.29737809232</v>
      </c>
    </row>
    <row r="383" spans="1:18" ht="15.5">
      <c r="A383" s="7" t="s">
        <v>20</v>
      </c>
      <c r="B383" s="7" t="s">
        <v>21</v>
      </c>
      <c r="C383" s="8">
        <v>2011</v>
      </c>
      <c r="D383" s="9">
        <v>14.792126</v>
      </c>
      <c r="E383" s="9">
        <v>5.4126749038696298</v>
      </c>
      <c r="F383" s="9">
        <v>2058.9299999999998</v>
      </c>
      <c r="G383" s="9">
        <v>1.7824392318725599</v>
      </c>
      <c r="H383" s="9">
        <v>145877.75</v>
      </c>
      <c r="I383" s="9">
        <v>625592.8125</v>
      </c>
      <c r="J383" s="9">
        <v>0.99374818801879905</v>
      </c>
      <c r="K383" s="9">
        <v>0.41604268550872803</v>
      </c>
      <c r="L383" s="9" t="e">
        <f>IF(OR(OIT!#REF!="",OIT!#REF!=""),"",OIT!#REF!-OIT!#REF!)</f>
        <v>#REF!</v>
      </c>
      <c r="M383" s="9" t="e">
        <f>IF(OR(OIT!#REF!="",OIT!#REF!=""),"",OIT!#REF!-OIT!#REF!)</f>
        <v>#REF!</v>
      </c>
      <c r="N383" s="9" t="e">
        <f>IF(OR(OIT!#REF!="",OIT!#REF!=""),"",OIT!#REF!-OIT!#REF!)</f>
        <v>#REF!</v>
      </c>
      <c r="O383" s="9">
        <f t="shared" si="20"/>
        <v>11144.318739824295</v>
      </c>
      <c r="P383" s="9">
        <f t="shared" si="21"/>
        <v>26951.138317157951</v>
      </c>
      <c r="Q383" s="9">
        <f t="shared" si="22"/>
        <v>13.089875963319759</v>
      </c>
      <c r="R383" s="9">
        <f t="shared" si="23"/>
        <v>115579.23274733371</v>
      </c>
    </row>
    <row r="384" spans="1:18" ht="15.5">
      <c r="A384" s="7" t="s">
        <v>20</v>
      </c>
      <c r="B384" s="7" t="s">
        <v>21</v>
      </c>
      <c r="C384" s="8">
        <v>2012</v>
      </c>
      <c r="D384" s="9">
        <v>15.089646999999999</v>
      </c>
      <c r="E384" s="9">
        <v>5.9320430755615199</v>
      </c>
      <c r="F384" s="9">
        <v>2050.85</v>
      </c>
      <c r="G384" s="9">
        <v>1.80307400226593</v>
      </c>
      <c r="H384" s="9">
        <v>150210.359375</v>
      </c>
      <c r="I384" s="9">
        <v>642215.4375</v>
      </c>
      <c r="J384" s="9">
        <v>0.96609699726104703</v>
      </c>
      <c r="K384" s="9">
        <v>0.416370868682861</v>
      </c>
      <c r="L384" s="9" t="e">
        <f>IF(OR(OIT!#REF!="",OIT!#REF!=""),"",OIT!#REF!-OIT!#REF!)</f>
        <v>#REF!</v>
      </c>
      <c r="M384" s="9" t="e">
        <f>IF(OR(OIT!#REF!="",OIT!#REF!=""),"",OIT!#REF!-OIT!#REF!)</f>
        <v>#REF!</v>
      </c>
      <c r="N384" s="9" t="e">
        <f>IF(OR(OIT!#REF!="",OIT!#REF!=""),"",OIT!#REF!-OIT!#REF!)</f>
        <v>#REF!</v>
      </c>
      <c r="O384" s="9">
        <f t="shared" si="20"/>
        <v>12165.730541515342</v>
      </c>
      <c r="P384" s="9">
        <f t="shared" si="21"/>
        <v>25321.859174257814</v>
      </c>
      <c r="Q384" s="9">
        <f t="shared" si="22"/>
        <v>12.347006935786535</v>
      </c>
      <c r="R384" s="9">
        <f t="shared" si="23"/>
        <v>108262.09946885942</v>
      </c>
    </row>
    <row r="385" spans="1:18" ht="15.5">
      <c r="A385" s="7" t="s">
        <v>20</v>
      </c>
      <c r="B385" s="7" t="s">
        <v>21</v>
      </c>
      <c r="C385" s="8">
        <v>2013</v>
      </c>
      <c r="D385" s="9">
        <v>15.387337</v>
      </c>
      <c r="E385" s="9">
        <v>5.6886053085327202</v>
      </c>
      <c r="F385" s="9">
        <v>2064.2399999999998</v>
      </c>
      <c r="G385" s="9">
        <v>1.82394754886627</v>
      </c>
      <c r="H385" s="9">
        <v>155764.25</v>
      </c>
      <c r="I385" s="9">
        <v>658631.6875</v>
      </c>
      <c r="J385" s="9">
        <v>0.99815386533737205</v>
      </c>
      <c r="K385" s="9">
        <v>0.48717457056045499</v>
      </c>
      <c r="L385" s="9" t="e">
        <f>IF(OR(OIT!#REF!="",OIT!#REF!=""),"",OIT!#REF!-OIT!#REF!)</f>
        <v>#REF!</v>
      </c>
      <c r="M385" s="9" t="e">
        <f>IF(OR(OIT!#REF!="",OIT!#REF!=""),"",OIT!#REF!-OIT!#REF!)</f>
        <v>#REF!</v>
      </c>
      <c r="N385" s="9" t="e">
        <f>IF(OR(OIT!#REF!="",OIT!#REF!=""),"",OIT!#REF!-OIT!#REF!)</f>
        <v>#REF!</v>
      </c>
      <c r="O385" s="9">
        <f t="shared" si="20"/>
        <v>11742.646622085582</v>
      </c>
      <c r="P385" s="9">
        <f t="shared" si="21"/>
        <v>27381.799501251873</v>
      </c>
      <c r="Q385" s="9">
        <f t="shared" si="22"/>
        <v>13.264833304873404</v>
      </c>
      <c r="R385" s="9">
        <f t="shared" si="23"/>
        <v>115780.87277598152</v>
      </c>
    </row>
    <row r="386" spans="1:18" ht="15.5">
      <c r="A386" s="7" t="s">
        <v>20</v>
      </c>
      <c r="B386" s="7" t="s">
        <v>21</v>
      </c>
      <c r="C386" s="8">
        <v>2014</v>
      </c>
      <c r="D386" s="9">
        <v>15.681725</v>
      </c>
      <c r="E386" s="9">
        <v>5.9987769126892099</v>
      </c>
      <c r="F386" s="9">
        <v>2077.9299999999998</v>
      </c>
      <c r="G386" s="9">
        <v>1.8450628519058201</v>
      </c>
      <c r="H386" s="9">
        <v>162686.375</v>
      </c>
      <c r="I386" s="9">
        <v>676249.875</v>
      </c>
      <c r="J386" s="9">
        <v>0.99333822727203402</v>
      </c>
      <c r="K386" s="9">
        <v>0.48174041509628301</v>
      </c>
      <c r="L386" s="9" t="e">
        <f>IF(OR(OIT!#REF!="",OIT!#REF!=""),"",OIT!#REF!-OIT!#REF!)</f>
        <v>#REF!</v>
      </c>
      <c r="M386" s="9" t="e">
        <f>IF(OR(OIT!#REF!="",OIT!#REF!=""),"",OIT!#REF!-OIT!#REF!)</f>
        <v>#REF!</v>
      </c>
      <c r="N386" s="9" t="e">
        <f>IF(OR(OIT!#REF!="",OIT!#REF!=""),"",OIT!#REF!-OIT!#REF!)</f>
        <v>#REF!</v>
      </c>
      <c r="O386" s="9">
        <f t="shared" ref="O386:O449" si="24">IFERROR(E386*F386,"")</f>
        <v>12465.038510184289</v>
      </c>
      <c r="P386" s="9">
        <f t="shared" ref="P386:P449" si="25">IFERROR(H386/E386,"")</f>
        <v>27119.924172520834</v>
      </c>
      <c r="Q386" s="9">
        <f t="shared" ref="Q386:Q449" si="26">IFERROR(H386/(E386*F386),"")</f>
        <v>13.051413749510731</v>
      </c>
      <c r="R386" s="9">
        <f t="shared" ref="R386:R449" si="27">IFERROR(I386/E386,"")</f>
        <v>112731.29253557154</v>
      </c>
    </row>
    <row r="387" spans="1:18" ht="15.5">
      <c r="A387" s="7" t="s">
        <v>20</v>
      </c>
      <c r="B387" s="7" t="s">
        <v>21</v>
      </c>
      <c r="C387" s="8">
        <v>2015</v>
      </c>
      <c r="D387" s="9">
        <v>15.971743</v>
      </c>
      <c r="E387" s="9">
        <v>6.2169060707092303</v>
      </c>
      <c r="F387" s="9">
        <v>2119.34</v>
      </c>
      <c r="G387" s="9">
        <v>1.86642253398895</v>
      </c>
      <c r="H387" s="9">
        <v>169343.78125</v>
      </c>
      <c r="I387" s="9">
        <v>692583.6875</v>
      </c>
      <c r="J387" s="9">
        <v>0.98895061016082797</v>
      </c>
      <c r="K387" s="9">
        <v>0.48286351561546298</v>
      </c>
      <c r="L387" s="9" t="e">
        <f>IF(OR(OIT!#REF!="",OIT!#REF!=""),"",OIT!#REF!-OIT!#REF!)</f>
        <v>#REF!</v>
      </c>
      <c r="M387" s="9" t="e">
        <f>IF(OR(OIT!#REF!="",OIT!#REF!=""),"",OIT!#REF!-OIT!#REF!)</f>
        <v>#REF!</v>
      </c>
      <c r="N387" s="9" t="e">
        <f>IF(OR(OIT!#REF!="",OIT!#REF!=""),"",OIT!#REF!-OIT!#REF!)</f>
        <v>#REF!</v>
      </c>
      <c r="O387" s="9">
        <f t="shared" si="24"/>
        <v>13175.737711896902</v>
      </c>
      <c r="P387" s="9">
        <f t="shared" si="25"/>
        <v>27239.237544195534</v>
      </c>
      <c r="Q387" s="9">
        <f t="shared" si="26"/>
        <v>12.8526982665337</v>
      </c>
      <c r="R387" s="9">
        <f t="shared" si="27"/>
        <v>111403.27352910922</v>
      </c>
    </row>
    <row r="388" spans="1:18" ht="15.5">
      <c r="A388" s="7" t="s">
        <v>20</v>
      </c>
      <c r="B388" s="7" t="s">
        <v>21</v>
      </c>
      <c r="C388" s="8">
        <v>2016</v>
      </c>
      <c r="D388" s="9">
        <v>16.26876</v>
      </c>
      <c r="E388" s="9">
        <v>6.4989376068115199</v>
      </c>
      <c r="F388" s="9">
        <v>2138.1799999999998</v>
      </c>
      <c r="G388" s="9">
        <v>1.8880295753478999</v>
      </c>
      <c r="H388" s="9">
        <v>173878.46875</v>
      </c>
      <c r="I388" s="9">
        <v>707692.1875</v>
      </c>
      <c r="J388" s="9">
        <v>0.973707795143127</v>
      </c>
      <c r="K388" s="9">
        <v>0.48411095142364502</v>
      </c>
      <c r="L388" s="9" t="e">
        <f>IF(OR(OIT!#REF!="",OIT!#REF!=""),"",OIT!#REF!-OIT!#REF!)</f>
        <v>#REF!</v>
      </c>
      <c r="M388" s="9" t="e">
        <f>IF(OR(OIT!#REF!="",OIT!#REF!=""),"",OIT!#REF!-OIT!#REF!)</f>
        <v>#REF!</v>
      </c>
      <c r="N388" s="9" t="e">
        <f>IF(OR(OIT!#REF!="",OIT!#REF!=""),"",OIT!#REF!-OIT!#REF!)</f>
        <v>#REF!</v>
      </c>
      <c r="O388" s="9">
        <f t="shared" si="24"/>
        <v>13895.898412132254</v>
      </c>
      <c r="P388" s="9">
        <f t="shared" si="25"/>
        <v>26754.906612391296</v>
      </c>
      <c r="Q388" s="9">
        <f t="shared" si="26"/>
        <v>12.512934651147845</v>
      </c>
      <c r="R388" s="9">
        <f t="shared" si="27"/>
        <v>108893.51926663669</v>
      </c>
    </row>
    <row r="389" spans="1:18" ht="15.5">
      <c r="A389" s="7" t="s">
        <v>20</v>
      </c>
      <c r="B389" s="7" t="s">
        <v>21</v>
      </c>
      <c r="C389" s="8">
        <v>2017</v>
      </c>
      <c r="D389" s="9">
        <v>16.567357000000001</v>
      </c>
      <c r="E389" s="9">
        <v>6.8252882957458496</v>
      </c>
      <c r="F389" s="9">
        <v>2089.5500000000002</v>
      </c>
      <c r="G389" s="9">
        <v>1.9098865985870399</v>
      </c>
      <c r="H389" s="9">
        <v>179233.671875</v>
      </c>
      <c r="I389" s="9">
        <v>724097.25</v>
      </c>
      <c r="J389" s="9">
        <v>0.97421318292617798</v>
      </c>
      <c r="K389" s="9">
        <v>0.48951360583305398</v>
      </c>
      <c r="L389" s="9" t="e">
        <f>IF(OR(OIT!#REF!="",OIT!#REF!=""),"",OIT!#REF!-OIT!#REF!)</f>
        <v>#REF!</v>
      </c>
      <c r="M389" s="9" t="e">
        <f>IF(OR(OIT!#REF!="",OIT!#REF!=""),"",OIT!#REF!-OIT!#REF!)</f>
        <v>#REF!</v>
      </c>
      <c r="N389" s="9" t="e">
        <f>IF(OR(OIT!#REF!="",OIT!#REF!=""),"",OIT!#REF!-OIT!#REF!)</f>
        <v>#REF!</v>
      </c>
      <c r="O389" s="9">
        <f t="shared" si="24"/>
        <v>14261.781158375741</v>
      </c>
      <c r="P389" s="9">
        <f t="shared" si="25"/>
        <v>26260.234602355915</v>
      </c>
      <c r="Q389" s="9">
        <f t="shared" si="26"/>
        <v>12.56741145335403</v>
      </c>
      <c r="R389" s="9">
        <f t="shared" si="27"/>
        <v>106090.35378788678</v>
      </c>
    </row>
    <row r="390" spans="1:18" ht="15.5">
      <c r="A390" s="7" t="s">
        <v>20</v>
      </c>
      <c r="B390" s="7" t="s">
        <v>21</v>
      </c>
      <c r="C390" s="8">
        <v>2018</v>
      </c>
      <c r="D390" s="9">
        <v>16.845685</v>
      </c>
      <c r="E390" s="9">
        <v>6.8500280380248997</v>
      </c>
      <c r="F390" s="9">
        <v>2090.09</v>
      </c>
      <c r="G390" s="9">
        <v>1.93199682235718</v>
      </c>
      <c r="H390" s="9">
        <v>185339.9375</v>
      </c>
      <c r="I390" s="9">
        <v>742007.6875</v>
      </c>
      <c r="J390" s="9">
        <v>0.987829148769379</v>
      </c>
      <c r="K390" s="9">
        <v>0.49395149946212802</v>
      </c>
      <c r="L390" s="9" t="e">
        <f>IF(OR(OIT!#REF!="",OIT!#REF!=""),"",OIT!#REF!-OIT!#REF!)</f>
        <v>#REF!</v>
      </c>
      <c r="M390" s="9" t="e">
        <f>IF(OR(OIT!#REF!="",OIT!#REF!=""),"",OIT!#REF!-OIT!#REF!)</f>
        <v>#REF!</v>
      </c>
      <c r="N390" s="9" t="e">
        <f>IF(OR(OIT!#REF!="",OIT!#REF!=""),"",OIT!#REF!-OIT!#REF!)</f>
        <v>#REF!</v>
      </c>
      <c r="O390" s="9">
        <f t="shared" si="24"/>
        <v>14317.175101995463</v>
      </c>
      <c r="P390" s="9">
        <f t="shared" si="25"/>
        <v>27056.814435089513</v>
      </c>
      <c r="Q390" s="9">
        <f t="shared" si="26"/>
        <v>12.945286774775015</v>
      </c>
      <c r="R390" s="9">
        <f t="shared" si="27"/>
        <v>108321.84676925009</v>
      </c>
    </row>
    <row r="391" spans="1:18" ht="15.5">
      <c r="A391" s="7" t="s">
        <v>20</v>
      </c>
      <c r="B391" s="7" t="s">
        <v>21</v>
      </c>
      <c r="C391" s="8">
        <v>2019</v>
      </c>
      <c r="D391" s="9">
        <v>17.103802999999999</v>
      </c>
      <c r="E391" s="9">
        <v>7.1022906303405797</v>
      </c>
      <c r="F391" s="9">
        <v>2119.64</v>
      </c>
      <c r="G391" s="9">
        <v>1.9543628692627</v>
      </c>
      <c r="H391" s="9">
        <v>192786.703125</v>
      </c>
      <c r="I391" s="9">
        <v>763462.3125</v>
      </c>
      <c r="J391" s="9">
        <v>0.98274177312850997</v>
      </c>
      <c r="K391" s="9">
        <v>0.488610118627548</v>
      </c>
      <c r="L391" s="9" t="e">
        <f>IF(OR(OIT!#REF!="",OIT!#REF!=""),"",OIT!#REF!-OIT!#REF!)</f>
        <v>#REF!</v>
      </c>
      <c r="M391" s="9" t="e">
        <f>IF(OR(OIT!#REF!="",OIT!#REF!=""),"",OIT!#REF!-OIT!#REF!)</f>
        <v>#REF!</v>
      </c>
      <c r="N391" s="9" t="e">
        <f>IF(OR(OIT!#REF!="",OIT!#REF!=""),"",OIT!#REF!-OIT!#REF!)</f>
        <v>#REF!</v>
      </c>
      <c r="O391" s="9">
        <f t="shared" si="24"/>
        <v>15054.299311695106</v>
      </c>
      <c r="P391" s="9">
        <f t="shared" si="25"/>
        <v>27144.299375954317</v>
      </c>
      <c r="Q391" s="9">
        <f t="shared" si="26"/>
        <v>12.806089418936386</v>
      </c>
      <c r="R391" s="9">
        <f t="shared" si="27"/>
        <v>107495.22263120755</v>
      </c>
    </row>
    <row r="392" spans="1:18" ht="15.5">
      <c r="A392" s="7" t="s">
        <v>20</v>
      </c>
      <c r="B392" s="7" t="s">
        <v>21</v>
      </c>
      <c r="C392" s="8">
        <v>2020</v>
      </c>
      <c r="D392" s="9">
        <v>17.357324999999999</v>
      </c>
      <c r="E392" s="9">
        <v>6.9208292961120597</v>
      </c>
      <c r="F392" s="9">
        <v>2071.0700000000002</v>
      </c>
      <c r="G392" s="9">
        <v>1.9769878387451201</v>
      </c>
      <c r="H392" s="9">
        <v>189344.390625</v>
      </c>
      <c r="I392" s="9">
        <v>782002.5</v>
      </c>
      <c r="J392" s="9">
        <v>0.97114741802215598</v>
      </c>
      <c r="K392" s="9">
        <v>0.48149728775024397</v>
      </c>
      <c r="L392" s="9" t="e">
        <f>IF(OR(OIT!#REF!="",OIT!#REF!=""),"",OIT!#REF!-OIT!#REF!)</f>
        <v>#REF!</v>
      </c>
      <c r="M392" s="9" t="e">
        <f>IF(OR(OIT!#REF!="",OIT!#REF!=""),"",OIT!#REF!-OIT!#REF!)</f>
        <v>#REF!</v>
      </c>
      <c r="N392" s="9" t="e">
        <f>IF(OR(OIT!#REF!="",OIT!#REF!=""),"",OIT!#REF!-OIT!#REF!)</f>
        <v>#REF!</v>
      </c>
      <c r="O392" s="9">
        <f t="shared" si="24"/>
        <v>14333.521930298804</v>
      </c>
      <c r="P392" s="9">
        <f t="shared" si="25"/>
        <v>27358.627488669415</v>
      </c>
      <c r="Q392" s="9">
        <f t="shared" si="26"/>
        <v>13.20989994962479</v>
      </c>
      <c r="R392" s="9">
        <f t="shared" si="27"/>
        <v>112992.60053116879</v>
      </c>
    </row>
    <row r="393" spans="1:18" ht="15.5">
      <c r="A393" s="7" t="s">
        <v>20</v>
      </c>
      <c r="B393" s="7" t="s">
        <v>21</v>
      </c>
      <c r="C393" s="8">
        <v>2021</v>
      </c>
      <c r="D393" s="9">
        <v>17.598649999999999</v>
      </c>
      <c r="E393" s="9">
        <v>7.2386713027954102</v>
      </c>
      <c r="F393" s="9">
        <v>2091.13</v>
      </c>
      <c r="G393" s="9">
        <v>1.9875797033309901</v>
      </c>
      <c r="H393" s="9">
        <v>204554.9375</v>
      </c>
      <c r="I393" s="9">
        <v>809323.3125</v>
      </c>
      <c r="J393" s="9">
        <v>1</v>
      </c>
      <c r="K393" s="9">
        <v>0.47991988062858598</v>
      </c>
      <c r="L393" s="9" t="e">
        <f>IF(OR(OIT!#REF!="",OIT!#REF!=""),"",OIT!#REF!-OIT!#REF!)</f>
        <v>#REF!</v>
      </c>
      <c r="M393" s="9" t="e">
        <f>IF(OR(OIT!#REF!="",OIT!#REF!=""),"",OIT!#REF!-OIT!#REF!)</f>
        <v>#REF!</v>
      </c>
      <c r="N393" s="9" t="e">
        <f>IF(OR(OIT!#REF!="",OIT!#REF!=""),"",OIT!#REF!-OIT!#REF!)</f>
        <v>#REF!</v>
      </c>
      <c r="O393" s="9">
        <f t="shared" si="24"/>
        <v>15137.002721414567</v>
      </c>
      <c r="P393" s="9">
        <f t="shared" si="25"/>
        <v>28258.63047835941</v>
      </c>
      <c r="Q393" s="9">
        <f t="shared" si="26"/>
        <v>13.513569447312893</v>
      </c>
      <c r="R393" s="9">
        <f t="shared" si="27"/>
        <v>111805.50665250648</v>
      </c>
    </row>
    <row r="394" spans="1:18" ht="15.5">
      <c r="A394" s="7" t="s">
        <v>20</v>
      </c>
      <c r="B394" s="7" t="s">
        <v>21</v>
      </c>
      <c r="C394" s="8">
        <v>2022</v>
      </c>
      <c r="D394" s="9">
        <v>17.847877</v>
      </c>
      <c r="E394" s="9">
        <v>7.6167421340942401</v>
      </c>
      <c r="F394" s="9">
        <v>2063.81</v>
      </c>
      <c r="G394" s="9">
        <v>1.9982284307479901</v>
      </c>
      <c r="H394" s="9">
        <v>213146.578125</v>
      </c>
      <c r="I394" s="9">
        <v>837805.5</v>
      </c>
      <c r="J394" s="9">
        <v>1.00147700309753</v>
      </c>
      <c r="K394" s="9">
        <v>0.47310513257980302</v>
      </c>
      <c r="L394" s="9" t="e">
        <f>IF(OR(OIT!#REF!="",OIT!#REF!=""),"",OIT!#REF!-OIT!#REF!)</f>
        <v>#REF!</v>
      </c>
      <c r="M394" s="9" t="e">
        <f>IF(OR(OIT!#REF!="",OIT!#REF!=""),"",OIT!#REF!-OIT!#REF!)</f>
        <v>#REF!</v>
      </c>
      <c r="N394" s="9" t="e">
        <f>IF(OR(OIT!#REF!="",OIT!#REF!=""),"",OIT!#REF!-OIT!#REF!)</f>
        <v>#REF!</v>
      </c>
      <c r="O394" s="9">
        <f t="shared" si="24"/>
        <v>15719.508583765033</v>
      </c>
      <c r="P394" s="9">
        <f t="shared" si="25"/>
        <v>27983.956181332211</v>
      </c>
      <c r="Q394" s="9">
        <f t="shared" si="26"/>
        <v>13.559366502406816</v>
      </c>
      <c r="R394" s="9">
        <f t="shared" si="27"/>
        <v>109995.25587846743</v>
      </c>
    </row>
    <row r="395" spans="1:18" ht="15.5">
      <c r="A395" s="7" t="s">
        <v>20</v>
      </c>
      <c r="B395" s="7" t="s">
        <v>21</v>
      </c>
      <c r="C395" s="8">
        <v>2023</v>
      </c>
      <c r="D395" s="9">
        <v>18.124838</v>
      </c>
      <c r="E395" s="9">
        <v>7.8529825210571298</v>
      </c>
      <c r="F395" s="9">
        <v>2150.62</v>
      </c>
      <c r="G395" s="9">
        <v>2.0405638217925999</v>
      </c>
      <c r="H395" s="9">
        <v>220663.78125</v>
      </c>
      <c r="I395" s="9">
        <v>869173.0625</v>
      </c>
      <c r="J395" s="9">
        <v>0.97238826751708995</v>
      </c>
      <c r="K395" s="9">
        <v>0.46945071220397999</v>
      </c>
      <c r="L395" s="9" t="e">
        <f>IF(OR(OIT!#REF!="",OIT!#REF!=""),"",OIT!#REF!-OIT!#REF!)</f>
        <v>#REF!</v>
      </c>
      <c r="M395" s="9" t="e">
        <f>IF(OR(OIT!#REF!="",OIT!#REF!=""),"",OIT!#REF!-OIT!#REF!)</f>
        <v>#REF!</v>
      </c>
      <c r="N395" s="9" t="e">
        <f>IF(OR(OIT!#REF!="",OIT!#REF!=""),"",OIT!#REF!-OIT!#REF!)</f>
        <v>#REF!</v>
      </c>
      <c r="O395" s="9">
        <f t="shared" si="24"/>
        <v>16888.781269435884</v>
      </c>
      <c r="P395" s="9">
        <f t="shared" si="25"/>
        <v>28099.35978570029</v>
      </c>
      <c r="Q395" s="9">
        <f t="shared" si="26"/>
        <v>13.06570188396848</v>
      </c>
      <c r="R395" s="9">
        <f t="shared" si="27"/>
        <v>110680.63123397811</v>
      </c>
    </row>
    <row r="396" spans="1:18" ht="15.5">
      <c r="A396" s="7" t="s">
        <v>20</v>
      </c>
      <c r="B396" s="7" t="s">
        <v>21</v>
      </c>
      <c r="C396" s="8">
        <v>2024</v>
      </c>
      <c r="D396" s="9"/>
      <c r="E396" s="9"/>
      <c r="F396" s="9"/>
      <c r="G396" s="9"/>
      <c r="H396" s="9"/>
      <c r="I396" s="9"/>
      <c r="J396" s="9"/>
      <c r="K396" s="9"/>
      <c r="L396" s="9" t="e">
        <f>IF(OR(OIT!#REF!="",OIT!#REF!=""),"",OIT!#REF!-OIT!#REF!)</f>
        <v>#REF!</v>
      </c>
      <c r="M396" s="9" t="e">
        <f>IF(OR(OIT!#REF!="",OIT!#REF!=""),"",OIT!#REF!-OIT!#REF!)</f>
        <v>#REF!</v>
      </c>
      <c r="N396" s="9" t="e">
        <f>IF(OR(OIT!#REF!="",OIT!#REF!=""),"",OIT!#REF!-OIT!#REF!)</f>
        <v>#REF!</v>
      </c>
      <c r="O396" s="9">
        <f t="shared" si="24"/>
        <v>0</v>
      </c>
      <c r="P396" s="9" t="str">
        <f t="shared" si="25"/>
        <v/>
      </c>
      <c r="Q396" s="9" t="str">
        <f t="shared" si="26"/>
        <v/>
      </c>
      <c r="R396" s="9" t="str">
        <f t="shared" si="27"/>
        <v/>
      </c>
    </row>
    <row r="397" spans="1:18" ht="15.5">
      <c r="A397" s="7" t="s">
        <v>20</v>
      </c>
      <c r="B397" s="7" t="s">
        <v>21</v>
      </c>
      <c r="C397" s="8">
        <v>2025</v>
      </c>
      <c r="D397" s="9"/>
      <c r="E397" s="9"/>
      <c r="F397" s="9"/>
      <c r="G397" s="9"/>
      <c r="H397" s="9"/>
      <c r="I397" s="9"/>
      <c r="J397" s="9"/>
      <c r="K397" s="9"/>
      <c r="L397" s="9" t="e">
        <f>IF(OR(OIT!#REF!="",OIT!#REF!=""),"",OIT!#REF!-OIT!#REF!)</f>
        <v>#REF!</v>
      </c>
      <c r="M397" s="9" t="e">
        <f>IF(OR(OIT!#REF!="",OIT!#REF!=""),"",OIT!#REF!-OIT!#REF!)</f>
        <v>#REF!</v>
      </c>
      <c r="N397" s="9" t="e">
        <f>IF(OR(OIT!#REF!="",OIT!#REF!=""),"",OIT!#REF!-OIT!#REF!)</f>
        <v>#REF!</v>
      </c>
      <c r="O397" s="9">
        <f t="shared" si="24"/>
        <v>0</v>
      </c>
      <c r="P397" s="9" t="str">
        <f t="shared" si="25"/>
        <v/>
      </c>
      <c r="Q397" s="9" t="str">
        <f t="shared" si="26"/>
        <v/>
      </c>
      <c r="R397" s="9" t="str">
        <f t="shared" si="27"/>
        <v/>
      </c>
    </row>
    <row r="398" spans="1:18" ht="15.5">
      <c r="A398" s="7" t="s">
        <v>22</v>
      </c>
      <c r="B398" s="7" t="s">
        <v>23</v>
      </c>
      <c r="C398" s="8">
        <v>1990</v>
      </c>
      <c r="D398" s="9">
        <v>6.8544409999999996</v>
      </c>
      <c r="E398" s="9">
        <v>2.3394610881805402</v>
      </c>
      <c r="F398" s="9"/>
      <c r="G398" s="9">
        <v>1.34886145591736</v>
      </c>
      <c r="H398" s="9">
        <v>16924.076171875</v>
      </c>
      <c r="I398" s="9">
        <v>222924.828125</v>
      </c>
      <c r="J398" s="9"/>
      <c r="K398" s="9"/>
      <c r="L398" s="9" t="e">
        <f>IF(OR(OIT!#REF!="",OIT!#REF!=""),"",OIT!#REF!-OIT!#REF!)</f>
        <v>#REF!</v>
      </c>
      <c r="M398" s="9" t="e">
        <f>IF(OR(OIT!#REF!="",OIT!#REF!=""),"",OIT!#REF!-OIT!#REF!)</f>
        <v>#REF!</v>
      </c>
      <c r="N398" s="9" t="e">
        <f>IF(OR(OIT!#REF!="",OIT!#REF!=""),"",OIT!#REF!-OIT!#REF!)</f>
        <v>#REF!</v>
      </c>
      <c r="O398" s="9">
        <f t="shared" si="24"/>
        <v>0</v>
      </c>
      <c r="P398" s="9">
        <f t="shared" si="25"/>
        <v>7234.1772459388476</v>
      </c>
      <c r="Q398" s="9" t="str">
        <f t="shared" si="26"/>
        <v/>
      </c>
      <c r="R398" s="9">
        <f t="shared" si="27"/>
        <v>95288.966014978447</v>
      </c>
    </row>
    <row r="399" spans="1:18" ht="15.5">
      <c r="A399" s="7" t="s">
        <v>22</v>
      </c>
      <c r="B399" s="7" t="s">
        <v>23</v>
      </c>
      <c r="C399" s="8">
        <v>1991</v>
      </c>
      <c r="D399" s="9">
        <v>6.9954499999999999</v>
      </c>
      <c r="E399" s="9">
        <v>2.4011485576629599</v>
      </c>
      <c r="F399" s="9"/>
      <c r="G399" s="9">
        <v>1.36387395858765</v>
      </c>
      <c r="H399" s="9">
        <v>17989.94921875</v>
      </c>
      <c r="I399" s="9">
        <v>230185.21875</v>
      </c>
      <c r="J399" s="9"/>
      <c r="K399" s="9"/>
      <c r="L399" s="9" t="e">
        <f>IF(OR(OIT!#REF!="",OIT!#REF!=""),"",OIT!#REF!-OIT!#REF!)</f>
        <v>#REF!</v>
      </c>
      <c r="M399" s="9" t="e">
        <f>IF(OR(OIT!#REF!="",OIT!#REF!=""),"",OIT!#REF!-OIT!#REF!)</f>
        <v>#REF!</v>
      </c>
      <c r="N399" s="9" t="e">
        <f>IF(OR(OIT!#REF!="",OIT!#REF!=""),"",OIT!#REF!-OIT!#REF!)</f>
        <v>#REF!</v>
      </c>
      <c r="O399" s="9">
        <f t="shared" si="24"/>
        <v>0</v>
      </c>
      <c r="P399" s="9">
        <f t="shared" si="25"/>
        <v>7492.2266518401657</v>
      </c>
      <c r="Q399" s="9" t="str">
        <f t="shared" si="26"/>
        <v/>
      </c>
      <c r="R399" s="9">
        <f t="shared" si="27"/>
        <v>95864.63028928102</v>
      </c>
    </row>
    <row r="400" spans="1:18" ht="15.5">
      <c r="A400" s="7" t="s">
        <v>22</v>
      </c>
      <c r="B400" s="7" t="s">
        <v>23</v>
      </c>
      <c r="C400" s="8">
        <v>1992</v>
      </c>
      <c r="D400" s="9">
        <v>7.136571</v>
      </c>
      <c r="E400" s="9">
        <v>2.4634213447570801</v>
      </c>
      <c r="F400" s="9"/>
      <c r="G400" s="9">
        <v>1.3790534734726001</v>
      </c>
      <c r="H400" s="9">
        <v>17772.81640625</v>
      </c>
      <c r="I400" s="9">
        <v>236834</v>
      </c>
      <c r="J400" s="9"/>
      <c r="K400" s="9"/>
      <c r="L400" s="9" t="e">
        <f>IF(OR(OIT!#REF!="",OIT!#REF!=""),"",OIT!#REF!-OIT!#REF!)</f>
        <v>#REF!</v>
      </c>
      <c r="M400" s="9" t="e">
        <f>IF(OR(OIT!#REF!="",OIT!#REF!=""),"",OIT!#REF!-OIT!#REF!)</f>
        <v>#REF!</v>
      </c>
      <c r="N400" s="9" t="e">
        <f>IF(OR(OIT!#REF!="",OIT!#REF!=""),"",OIT!#REF!-OIT!#REF!)</f>
        <v>#REF!</v>
      </c>
      <c r="O400" s="9">
        <f t="shared" si="24"/>
        <v>0</v>
      </c>
      <c r="P400" s="9">
        <f t="shared" si="25"/>
        <v>7214.6879964631435</v>
      </c>
      <c r="Q400" s="9" t="str">
        <f t="shared" si="26"/>
        <v/>
      </c>
      <c r="R400" s="9">
        <f t="shared" si="27"/>
        <v>96140.272756853286</v>
      </c>
    </row>
    <row r="401" spans="1:18" ht="15.5">
      <c r="A401" s="7" t="s">
        <v>22</v>
      </c>
      <c r="B401" s="7" t="s">
        <v>23</v>
      </c>
      <c r="C401" s="8">
        <v>1993</v>
      </c>
      <c r="D401" s="9">
        <v>7.278181</v>
      </c>
      <c r="E401" s="9">
        <v>2.52641081809998</v>
      </c>
      <c r="F401" s="9"/>
      <c r="G401" s="9">
        <v>1.3944020271301301</v>
      </c>
      <c r="H401" s="9">
        <v>17536.064453125</v>
      </c>
      <c r="I401" s="9">
        <v>240554.421875</v>
      </c>
      <c r="J401" s="9"/>
      <c r="K401" s="9"/>
      <c r="L401" s="9" t="e">
        <f>IF(OR(OIT!#REF!="",OIT!#REF!=""),"",OIT!#REF!-OIT!#REF!)</f>
        <v>#REF!</v>
      </c>
      <c r="M401" s="9" t="e">
        <f>IF(OR(OIT!#REF!="",OIT!#REF!=""),"",OIT!#REF!-OIT!#REF!)</f>
        <v>#REF!</v>
      </c>
      <c r="N401" s="9" t="e">
        <f>IF(OR(OIT!#REF!="",OIT!#REF!=""),"",OIT!#REF!-OIT!#REF!)</f>
        <v>#REF!</v>
      </c>
      <c r="O401" s="9">
        <f t="shared" si="24"/>
        <v>0</v>
      </c>
      <c r="P401" s="9">
        <f t="shared" si="25"/>
        <v>6941.0977531806266</v>
      </c>
      <c r="Q401" s="9" t="str">
        <f t="shared" si="26"/>
        <v/>
      </c>
      <c r="R401" s="9">
        <f t="shared" si="27"/>
        <v>95215.877066229499</v>
      </c>
    </row>
    <row r="402" spans="1:18" ht="15.5">
      <c r="A402" s="7" t="s">
        <v>22</v>
      </c>
      <c r="B402" s="7" t="s">
        <v>23</v>
      </c>
      <c r="C402" s="8">
        <v>1994</v>
      </c>
      <c r="D402" s="9">
        <v>7.4197709999999999</v>
      </c>
      <c r="E402" s="9">
        <v>2.5899424552917498</v>
      </c>
      <c r="F402" s="9"/>
      <c r="G402" s="9">
        <v>1.4099212884903001</v>
      </c>
      <c r="H402" s="9">
        <v>16110.8837890625</v>
      </c>
      <c r="I402" s="9">
        <v>241660.0625</v>
      </c>
      <c r="J402" s="9"/>
      <c r="K402" s="9"/>
      <c r="L402" s="9" t="e">
        <f>IF(OR(OIT!#REF!="",OIT!#REF!=""),"",OIT!#REF!-OIT!#REF!)</f>
        <v>#REF!</v>
      </c>
      <c r="M402" s="9" t="e">
        <f>IF(OR(OIT!#REF!="",OIT!#REF!=""),"",OIT!#REF!-OIT!#REF!)</f>
        <v>#REF!</v>
      </c>
      <c r="N402" s="9" t="e">
        <f>IF(OR(OIT!#REF!="",OIT!#REF!=""),"",OIT!#REF!-OIT!#REF!)</f>
        <v>#REF!</v>
      </c>
      <c r="O402" s="9">
        <f t="shared" si="24"/>
        <v>0</v>
      </c>
      <c r="P402" s="9">
        <f t="shared" si="25"/>
        <v>6220.556659915308</v>
      </c>
      <c r="Q402" s="9" t="str">
        <f t="shared" si="26"/>
        <v/>
      </c>
      <c r="R402" s="9">
        <f t="shared" si="27"/>
        <v>93307.116536987945</v>
      </c>
    </row>
    <row r="403" spans="1:18" ht="15.5">
      <c r="A403" s="7" t="s">
        <v>22</v>
      </c>
      <c r="B403" s="7" t="s">
        <v>23</v>
      </c>
      <c r="C403" s="8">
        <v>1995</v>
      </c>
      <c r="D403" s="9">
        <v>7.5625460000000002</v>
      </c>
      <c r="E403" s="9">
        <v>2.6544387340545699</v>
      </c>
      <c r="F403" s="9"/>
      <c r="G403" s="9">
        <v>1.4256134033203101</v>
      </c>
      <c r="H403" s="9">
        <v>18471.880859375</v>
      </c>
      <c r="I403" s="9">
        <v>247543.71875</v>
      </c>
      <c r="J403" s="9"/>
      <c r="K403" s="9"/>
      <c r="L403" s="9" t="e">
        <f>IF(OR(OIT!#REF!="",OIT!#REF!=""),"",OIT!#REF!-OIT!#REF!)</f>
        <v>#REF!</v>
      </c>
      <c r="M403" s="9" t="e">
        <f>IF(OR(OIT!#REF!="",OIT!#REF!=""),"",OIT!#REF!-OIT!#REF!)</f>
        <v>#REF!</v>
      </c>
      <c r="N403" s="9" t="e">
        <f>IF(OR(OIT!#REF!="",OIT!#REF!=""),"",OIT!#REF!-OIT!#REF!)</f>
        <v>#REF!</v>
      </c>
      <c r="O403" s="9">
        <f t="shared" si="24"/>
        <v>0</v>
      </c>
      <c r="P403" s="9">
        <f t="shared" si="25"/>
        <v>6958.8650219701231</v>
      </c>
      <c r="Q403" s="9" t="str">
        <f t="shared" si="26"/>
        <v/>
      </c>
      <c r="R403" s="9">
        <f t="shared" si="27"/>
        <v>93256.519946830696</v>
      </c>
    </row>
    <row r="404" spans="1:18" ht="15.5">
      <c r="A404" s="7" t="s">
        <v>22</v>
      </c>
      <c r="B404" s="7" t="s">
        <v>23</v>
      </c>
      <c r="C404" s="8">
        <v>1996</v>
      </c>
      <c r="D404" s="9">
        <v>7.7075570000000004</v>
      </c>
      <c r="E404" s="9">
        <v>2.7202780246734601</v>
      </c>
      <c r="F404" s="9"/>
      <c r="G404" s="9">
        <v>1.4414801597595199</v>
      </c>
      <c r="H404" s="9">
        <v>20070.919921875</v>
      </c>
      <c r="I404" s="9">
        <v>253942.8125</v>
      </c>
      <c r="J404" s="9"/>
      <c r="K404" s="9"/>
      <c r="L404" s="9" t="e">
        <f>IF(OR(OIT!#REF!="",OIT!#REF!=""),"",OIT!#REF!-OIT!#REF!)</f>
        <v>#REF!</v>
      </c>
      <c r="M404" s="9" t="e">
        <f>IF(OR(OIT!#REF!="",OIT!#REF!=""),"",OIT!#REF!-OIT!#REF!)</f>
        <v>#REF!</v>
      </c>
      <c r="N404" s="9" t="e">
        <f>IF(OR(OIT!#REF!="",OIT!#REF!=""),"",OIT!#REF!-OIT!#REF!)</f>
        <v>#REF!</v>
      </c>
      <c r="O404" s="9">
        <f t="shared" si="24"/>
        <v>0</v>
      </c>
      <c r="P404" s="9">
        <f t="shared" si="25"/>
        <v>7378.2605086052909</v>
      </c>
      <c r="Q404" s="9" t="str">
        <f t="shared" si="26"/>
        <v/>
      </c>
      <c r="R404" s="9">
        <f t="shared" si="27"/>
        <v>93351.786176518886</v>
      </c>
    </row>
    <row r="405" spans="1:18" ht="15.5">
      <c r="A405" s="7" t="s">
        <v>22</v>
      </c>
      <c r="B405" s="7" t="s">
        <v>23</v>
      </c>
      <c r="C405" s="8">
        <v>1997</v>
      </c>
      <c r="D405" s="9">
        <v>7.854298</v>
      </c>
      <c r="E405" s="9">
        <v>2.78729319572449</v>
      </c>
      <c r="F405" s="9"/>
      <c r="G405" s="9">
        <v>1.4575234651565601</v>
      </c>
      <c r="H405" s="9">
        <v>21507.2265625</v>
      </c>
      <c r="I405" s="9">
        <v>260507.421875</v>
      </c>
      <c r="J405" s="9"/>
      <c r="K405" s="9"/>
      <c r="L405" s="9" t="e">
        <f>IF(OR(OIT!#REF!="",OIT!#REF!=""),"",OIT!#REF!-OIT!#REF!)</f>
        <v>#REF!</v>
      </c>
      <c r="M405" s="9" t="e">
        <f>IF(OR(OIT!#REF!="",OIT!#REF!=""),"",OIT!#REF!-OIT!#REF!)</f>
        <v>#REF!</v>
      </c>
      <c r="N405" s="9" t="e">
        <f>IF(OR(OIT!#REF!="",OIT!#REF!=""),"",OIT!#REF!-OIT!#REF!)</f>
        <v>#REF!</v>
      </c>
      <c r="O405" s="9">
        <f t="shared" si="24"/>
        <v>0</v>
      </c>
      <c r="P405" s="9">
        <f t="shared" si="25"/>
        <v>7716.1694347370994</v>
      </c>
      <c r="Q405" s="9" t="str">
        <f t="shared" si="26"/>
        <v/>
      </c>
      <c r="R405" s="9">
        <f t="shared" si="27"/>
        <v>93462.511326257285</v>
      </c>
    </row>
    <row r="406" spans="1:18" ht="15.5">
      <c r="A406" s="7" t="s">
        <v>22</v>
      </c>
      <c r="B406" s="7" t="s">
        <v>23</v>
      </c>
      <c r="C406" s="8">
        <v>1998</v>
      </c>
      <c r="D406" s="9">
        <v>8.0021430000000002</v>
      </c>
      <c r="E406" s="9">
        <v>2.8552715778350799</v>
      </c>
      <c r="F406" s="9"/>
      <c r="G406" s="9">
        <v>1.4737452268600499</v>
      </c>
      <c r="H406" s="9">
        <v>22928.98828125</v>
      </c>
      <c r="I406" s="9">
        <v>266230.0625</v>
      </c>
      <c r="J406" s="9"/>
      <c r="K406" s="9"/>
      <c r="L406" s="9" t="e">
        <f>IF(OR(OIT!#REF!="",OIT!#REF!=""),"",OIT!#REF!-OIT!#REF!)</f>
        <v>#REF!</v>
      </c>
      <c r="M406" s="9" t="e">
        <f>IF(OR(OIT!#REF!="",OIT!#REF!=""),"",OIT!#REF!-OIT!#REF!)</f>
        <v>#REF!</v>
      </c>
      <c r="N406" s="9" t="e">
        <f>IF(OR(OIT!#REF!="",OIT!#REF!=""),"",OIT!#REF!-OIT!#REF!)</f>
        <v>#REF!</v>
      </c>
      <c r="O406" s="9">
        <f t="shared" si="24"/>
        <v>0</v>
      </c>
      <c r="P406" s="9">
        <f t="shared" si="25"/>
        <v>8030.4053944441903</v>
      </c>
      <c r="Q406" s="9" t="str">
        <f t="shared" si="26"/>
        <v/>
      </c>
      <c r="R406" s="9">
        <f t="shared" si="27"/>
        <v>93241.590245457701</v>
      </c>
    </row>
    <row r="407" spans="1:18" ht="15.5">
      <c r="A407" s="7" t="s">
        <v>22</v>
      </c>
      <c r="B407" s="7" t="s">
        <v>23</v>
      </c>
      <c r="C407" s="8">
        <v>1999</v>
      </c>
      <c r="D407" s="9">
        <v>8.1512960000000003</v>
      </c>
      <c r="E407" s="9">
        <v>2.9242920875549299</v>
      </c>
      <c r="F407" s="9"/>
      <c r="G407" s="9">
        <v>1.4901477098464999</v>
      </c>
      <c r="H407" s="9">
        <v>24571.146484375</v>
      </c>
      <c r="I407" s="9">
        <v>273517.28125</v>
      </c>
      <c r="J407" s="9"/>
      <c r="K407" s="9"/>
      <c r="L407" s="9" t="e">
        <f>IF(OR(OIT!#REF!="",OIT!#REF!=""),"",OIT!#REF!-OIT!#REF!)</f>
        <v>#REF!</v>
      </c>
      <c r="M407" s="9" t="e">
        <f>IF(OR(OIT!#REF!="",OIT!#REF!=""),"",OIT!#REF!-OIT!#REF!)</f>
        <v>#REF!</v>
      </c>
      <c r="N407" s="9" t="e">
        <f>IF(OR(OIT!#REF!="",OIT!#REF!=""),"",OIT!#REF!-OIT!#REF!)</f>
        <v>#REF!</v>
      </c>
      <c r="O407" s="9">
        <f t="shared" si="24"/>
        <v>0</v>
      </c>
      <c r="P407" s="9">
        <f t="shared" si="25"/>
        <v>8402.4255268287925</v>
      </c>
      <c r="Q407" s="9" t="str">
        <f t="shared" si="26"/>
        <v/>
      </c>
      <c r="R407" s="9">
        <f t="shared" si="27"/>
        <v>93532.818562831832</v>
      </c>
    </row>
    <row r="408" spans="1:18" ht="15.5">
      <c r="A408" s="7" t="s">
        <v>22</v>
      </c>
      <c r="B408" s="7" t="s">
        <v>23</v>
      </c>
      <c r="C408" s="8">
        <v>2000</v>
      </c>
      <c r="D408" s="9">
        <v>8.3031509999999997</v>
      </c>
      <c r="E408" s="9">
        <v>2.9948651790618901</v>
      </c>
      <c r="F408" s="9"/>
      <c r="G408" s="9">
        <v>1.5067327022552499</v>
      </c>
      <c r="H408" s="9">
        <v>25859.044921875</v>
      </c>
      <c r="I408" s="9">
        <v>282067.46875</v>
      </c>
      <c r="J408" s="9"/>
      <c r="K408" s="9"/>
      <c r="L408" s="9" t="e">
        <f>IF(OR(OIT!#REF!="",OIT!#REF!=""),"",OIT!#REF!-OIT!#REF!)</f>
        <v>#REF!</v>
      </c>
      <c r="M408" s="9" t="e">
        <f>IF(OR(OIT!#REF!="",OIT!#REF!=""),"",OIT!#REF!-OIT!#REF!)</f>
        <v>#REF!</v>
      </c>
      <c r="N408" s="9" t="e">
        <f>IF(OR(OIT!#REF!="",OIT!#REF!=""),"",OIT!#REF!-OIT!#REF!)</f>
        <v>#REF!</v>
      </c>
      <c r="O408" s="9">
        <f t="shared" si="24"/>
        <v>0</v>
      </c>
      <c r="P408" s="9">
        <f t="shared" si="25"/>
        <v>8634.4604433829882</v>
      </c>
      <c r="Q408" s="9" t="str">
        <f t="shared" si="26"/>
        <v/>
      </c>
      <c r="R408" s="9">
        <f t="shared" si="27"/>
        <v>94183.695053129122</v>
      </c>
    </row>
    <row r="409" spans="1:18" ht="15.5">
      <c r="A409" s="7" t="s">
        <v>22</v>
      </c>
      <c r="B409" s="7" t="s">
        <v>23</v>
      </c>
      <c r="C409" s="8">
        <v>2001</v>
      </c>
      <c r="D409" s="9">
        <v>8.4559180000000005</v>
      </c>
      <c r="E409" s="9">
        <v>3.0663580894470202</v>
      </c>
      <c r="F409" s="9"/>
      <c r="G409" s="9">
        <v>1.5170645713806199</v>
      </c>
      <c r="H409" s="9">
        <v>25772.611328125</v>
      </c>
      <c r="I409" s="9">
        <v>289292.5625</v>
      </c>
      <c r="J409" s="9"/>
      <c r="K409" s="9"/>
      <c r="L409" s="9" t="e">
        <f>IF(OR(OIT!#REF!="",OIT!#REF!=""),"",OIT!#REF!-OIT!#REF!)</f>
        <v>#REF!</v>
      </c>
      <c r="M409" s="9" t="e">
        <f>IF(OR(OIT!#REF!="",OIT!#REF!=""),"",OIT!#REF!-OIT!#REF!)</f>
        <v>#REF!</v>
      </c>
      <c r="N409" s="9" t="e">
        <f>IF(OR(OIT!#REF!="",OIT!#REF!=""),"",OIT!#REF!-OIT!#REF!)</f>
        <v>#REF!</v>
      </c>
      <c r="O409" s="9">
        <f t="shared" si="24"/>
        <v>0</v>
      </c>
      <c r="P409" s="9">
        <f t="shared" si="25"/>
        <v>8404.9581217609102</v>
      </c>
      <c r="Q409" s="9" t="str">
        <f t="shared" si="26"/>
        <v/>
      </c>
      <c r="R409" s="9">
        <f t="shared" si="27"/>
        <v>94344.024429374564</v>
      </c>
    </row>
    <row r="410" spans="1:18" ht="15.5">
      <c r="A410" s="7" t="s">
        <v>22</v>
      </c>
      <c r="B410" s="7" t="s">
        <v>23</v>
      </c>
      <c r="C410" s="8">
        <v>2002</v>
      </c>
      <c r="D410" s="9">
        <v>8.6076409999999992</v>
      </c>
      <c r="E410" s="9">
        <v>3.1380627155303999</v>
      </c>
      <c r="F410" s="9"/>
      <c r="G410" s="9">
        <v>1.5274672508239699</v>
      </c>
      <c r="H410" s="9">
        <v>26010.876953125</v>
      </c>
      <c r="I410" s="9">
        <v>295580.9375</v>
      </c>
      <c r="J410" s="9"/>
      <c r="K410" s="9"/>
      <c r="L410" s="9" t="e">
        <f>IF(OR(OIT!#REF!="",OIT!#REF!=""),"",OIT!#REF!-OIT!#REF!)</f>
        <v>#REF!</v>
      </c>
      <c r="M410" s="9" t="e">
        <f>IF(OR(OIT!#REF!="",OIT!#REF!=""),"",OIT!#REF!-OIT!#REF!)</f>
        <v>#REF!</v>
      </c>
      <c r="N410" s="9" t="e">
        <f>IF(OR(OIT!#REF!="",OIT!#REF!=""),"",OIT!#REF!-OIT!#REF!)</f>
        <v>#REF!</v>
      </c>
      <c r="O410" s="9">
        <f t="shared" si="24"/>
        <v>0</v>
      </c>
      <c r="P410" s="9">
        <f t="shared" si="25"/>
        <v>8288.8327324996135</v>
      </c>
      <c r="Q410" s="9" t="str">
        <f t="shared" si="26"/>
        <v/>
      </c>
      <c r="R410" s="9">
        <f t="shared" si="27"/>
        <v>94192.170232021788</v>
      </c>
    </row>
    <row r="411" spans="1:18" ht="15.5">
      <c r="A411" s="7" t="s">
        <v>22</v>
      </c>
      <c r="B411" s="7" t="s">
        <v>23</v>
      </c>
      <c r="C411" s="8">
        <v>2003</v>
      </c>
      <c r="D411" s="9">
        <v>8.7599119999999999</v>
      </c>
      <c r="E411" s="9">
        <v>3.2105562686920202</v>
      </c>
      <c r="F411" s="9"/>
      <c r="G411" s="9">
        <v>1.53794133663178</v>
      </c>
      <c r="H411" s="9">
        <v>26884.68359375</v>
      </c>
      <c r="I411" s="9">
        <v>302618.21875</v>
      </c>
      <c r="J411" s="9"/>
      <c r="K411" s="9"/>
      <c r="L411" s="9" t="e">
        <f>IF(OR(OIT!#REF!="",OIT!#REF!=""),"",OIT!#REF!-OIT!#REF!)</f>
        <v>#REF!</v>
      </c>
      <c r="M411" s="9" t="e">
        <f>IF(OR(OIT!#REF!="",OIT!#REF!=""),"",OIT!#REF!-OIT!#REF!)</f>
        <v>#REF!</v>
      </c>
      <c r="N411" s="9" t="e">
        <f>IF(OR(OIT!#REF!="",OIT!#REF!=""),"",OIT!#REF!-OIT!#REF!)</f>
        <v>#REF!</v>
      </c>
      <c r="O411" s="9">
        <f t="shared" si="24"/>
        <v>0</v>
      </c>
      <c r="P411" s="9">
        <f t="shared" si="25"/>
        <v>8373.8397161632092</v>
      </c>
      <c r="Q411" s="9" t="str">
        <f t="shared" si="26"/>
        <v/>
      </c>
      <c r="R411" s="9">
        <f t="shared" si="27"/>
        <v>94257.254327234259</v>
      </c>
    </row>
    <row r="412" spans="1:18" ht="15.5">
      <c r="A412" s="7" t="s">
        <v>22</v>
      </c>
      <c r="B412" s="7" t="s">
        <v>23</v>
      </c>
      <c r="C412" s="8">
        <v>2004</v>
      </c>
      <c r="D412" s="9">
        <v>8.9102630000000005</v>
      </c>
      <c r="E412" s="9">
        <v>3.2829327583313002</v>
      </c>
      <c r="F412" s="9"/>
      <c r="G412" s="9">
        <v>1.5484871864318801</v>
      </c>
      <c r="H412" s="9">
        <v>26553.142578125</v>
      </c>
      <c r="I412" s="9">
        <v>309898.5</v>
      </c>
      <c r="J412" s="9"/>
      <c r="K412" s="9"/>
      <c r="L412" s="9" t="e">
        <f>IF(OR(OIT!#REF!="",OIT!#REF!=""),"",OIT!#REF!-OIT!#REF!)</f>
        <v>#REF!</v>
      </c>
      <c r="M412" s="9" t="e">
        <f>IF(OR(OIT!#REF!="",OIT!#REF!=""),"",OIT!#REF!-OIT!#REF!)</f>
        <v>#REF!</v>
      </c>
      <c r="N412" s="9" t="e">
        <f>IF(OR(OIT!#REF!="",OIT!#REF!=""),"",OIT!#REF!-OIT!#REF!)</f>
        <v>#REF!</v>
      </c>
      <c r="O412" s="9">
        <f t="shared" si="24"/>
        <v>0</v>
      </c>
      <c r="P412" s="9">
        <f t="shared" si="25"/>
        <v>8088.2383322471223</v>
      </c>
      <c r="Q412" s="9" t="str">
        <f t="shared" si="26"/>
        <v/>
      </c>
      <c r="R412" s="9">
        <f t="shared" si="27"/>
        <v>94396.846604168648</v>
      </c>
    </row>
    <row r="413" spans="1:18" ht="15.5">
      <c r="A413" s="7" t="s">
        <v>22</v>
      </c>
      <c r="B413" s="7" t="s">
        <v>23</v>
      </c>
      <c r="C413" s="8">
        <v>2005</v>
      </c>
      <c r="D413" s="9">
        <v>9.0612729999999999</v>
      </c>
      <c r="E413" s="9">
        <v>3.3561360836029102</v>
      </c>
      <c r="F413" s="9"/>
      <c r="G413" s="9">
        <v>1.55910539627075</v>
      </c>
      <c r="H413" s="9">
        <v>27513.73046875</v>
      </c>
      <c r="I413" s="9">
        <v>317215.1875</v>
      </c>
      <c r="J413" s="9"/>
      <c r="K413" s="9"/>
      <c r="L413" s="9" t="e">
        <f>IF(OR(OIT!#REF!="",OIT!#REF!=""),"",OIT!#REF!-OIT!#REF!)</f>
        <v>#REF!</v>
      </c>
      <c r="M413" s="9" t="e">
        <f>IF(OR(OIT!#REF!="",OIT!#REF!=""),"",OIT!#REF!-OIT!#REF!)</f>
        <v>#REF!</v>
      </c>
      <c r="N413" s="9" t="e">
        <f>IF(OR(OIT!#REF!="",OIT!#REF!=""),"",OIT!#REF!-OIT!#REF!)</f>
        <v>#REF!</v>
      </c>
      <c r="O413" s="9">
        <f t="shared" si="24"/>
        <v>0</v>
      </c>
      <c r="P413" s="9">
        <f t="shared" si="25"/>
        <v>8198.0377980422072</v>
      </c>
      <c r="Q413" s="9" t="str">
        <f t="shared" si="26"/>
        <v/>
      </c>
      <c r="R413" s="9">
        <f t="shared" si="27"/>
        <v>94517.975313879477</v>
      </c>
    </row>
    <row r="414" spans="1:18" ht="15.5">
      <c r="A414" s="7" t="s">
        <v>22</v>
      </c>
      <c r="B414" s="7" t="s">
        <v>23</v>
      </c>
      <c r="C414" s="8">
        <v>2006</v>
      </c>
      <c r="D414" s="9">
        <v>9.2165619999999997</v>
      </c>
      <c r="E414" s="9">
        <v>3.43151807785034</v>
      </c>
      <c r="F414" s="9"/>
      <c r="G414" s="9">
        <v>1.56979632377625</v>
      </c>
      <c r="H414" s="9">
        <v>27993.728515625</v>
      </c>
      <c r="I414" s="9">
        <v>326974.6875</v>
      </c>
      <c r="J414" s="9"/>
      <c r="K414" s="9"/>
      <c r="L414" s="9" t="e">
        <f>IF(OR(OIT!#REF!="",OIT!#REF!=""),"",OIT!#REF!-OIT!#REF!)</f>
        <v>#REF!</v>
      </c>
      <c r="M414" s="9" t="e">
        <f>IF(OR(OIT!#REF!="",OIT!#REF!=""),"",OIT!#REF!-OIT!#REF!)</f>
        <v>#REF!</v>
      </c>
      <c r="N414" s="9" t="e">
        <f>IF(OR(OIT!#REF!="",OIT!#REF!=""),"",OIT!#REF!-OIT!#REF!)</f>
        <v>#REF!</v>
      </c>
      <c r="O414" s="9">
        <f t="shared" si="24"/>
        <v>0</v>
      </c>
      <c r="P414" s="9">
        <f t="shared" si="25"/>
        <v>8157.82632658067</v>
      </c>
      <c r="Q414" s="9" t="str">
        <f t="shared" si="26"/>
        <v/>
      </c>
      <c r="R414" s="9">
        <f t="shared" si="27"/>
        <v>95285.724883848467</v>
      </c>
    </row>
    <row r="415" spans="1:18" ht="15.5">
      <c r="A415" s="7" t="s">
        <v>22</v>
      </c>
      <c r="B415" s="7" t="s">
        <v>23</v>
      </c>
      <c r="C415" s="8">
        <v>2007</v>
      </c>
      <c r="D415" s="9">
        <v>9.3732959999999999</v>
      </c>
      <c r="E415" s="9">
        <v>3.5080428123474099</v>
      </c>
      <c r="F415" s="9"/>
      <c r="G415" s="9">
        <v>1.5805606842041</v>
      </c>
      <c r="H415" s="9">
        <v>29553.013671875</v>
      </c>
      <c r="I415" s="9">
        <v>336188.96875</v>
      </c>
      <c r="J415" s="9"/>
      <c r="K415" s="9"/>
      <c r="L415" s="9" t="e">
        <f>IF(OR(OIT!#REF!="",OIT!#REF!=""),"",OIT!#REF!-OIT!#REF!)</f>
        <v>#REF!</v>
      </c>
      <c r="M415" s="9" t="e">
        <f>IF(OR(OIT!#REF!="",OIT!#REF!=""),"",OIT!#REF!-OIT!#REF!)</f>
        <v>#REF!</v>
      </c>
      <c r="N415" s="9" t="e">
        <f>IF(OR(OIT!#REF!="",OIT!#REF!=""),"",OIT!#REF!-OIT!#REF!)</f>
        <v>#REF!</v>
      </c>
      <c r="O415" s="9">
        <f t="shared" si="24"/>
        <v>0</v>
      </c>
      <c r="P415" s="9">
        <f t="shared" si="25"/>
        <v>8424.3594655846227</v>
      </c>
      <c r="Q415" s="9" t="str">
        <f t="shared" si="26"/>
        <v/>
      </c>
      <c r="R415" s="9">
        <f t="shared" si="27"/>
        <v>95833.770205626104</v>
      </c>
    </row>
    <row r="416" spans="1:18" ht="15.5">
      <c r="A416" s="7" t="s">
        <v>22</v>
      </c>
      <c r="B416" s="7" t="s">
        <v>23</v>
      </c>
      <c r="C416" s="8">
        <v>2008</v>
      </c>
      <c r="D416" s="9">
        <v>9.5307739999999992</v>
      </c>
      <c r="E416" s="9">
        <v>3.5854551792144802</v>
      </c>
      <c r="F416" s="9"/>
      <c r="G416" s="9">
        <v>1.5913988351821899</v>
      </c>
      <c r="H416" s="9">
        <v>30285.423828125</v>
      </c>
      <c r="I416" s="9">
        <v>347261.21875</v>
      </c>
      <c r="J416" s="9"/>
      <c r="K416" s="9"/>
      <c r="L416" s="9" t="e">
        <f>IF(OR(OIT!#REF!="",OIT!#REF!=""),"",OIT!#REF!-OIT!#REF!)</f>
        <v>#REF!</v>
      </c>
      <c r="M416" s="9" t="e">
        <f>IF(OR(OIT!#REF!="",OIT!#REF!=""),"",OIT!#REF!-OIT!#REF!)</f>
        <v>#REF!</v>
      </c>
      <c r="N416" s="9" t="e">
        <f>IF(OR(OIT!#REF!="",OIT!#REF!=""),"",OIT!#REF!-OIT!#REF!)</f>
        <v>#REF!</v>
      </c>
      <c r="O416" s="9">
        <f t="shared" si="24"/>
        <v>0</v>
      </c>
      <c r="P416" s="9">
        <f t="shared" si="25"/>
        <v>8446.7445036532536</v>
      </c>
      <c r="Q416" s="9" t="str">
        <f t="shared" si="26"/>
        <v/>
      </c>
      <c r="R416" s="9">
        <f t="shared" si="27"/>
        <v>96852.756872582002</v>
      </c>
    </row>
    <row r="417" spans="1:18" ht="15.5">
      <c r="A417" s="7" t="s">
        <v>22</v>
      </c>
      <c r="B417" s="7" t="s">
        <v>23</v>
      </c>
      <c r="C417" s="8">
        <v>2009</v>
      </c>
      <c r="D417" s="9">
        <v>9.6895810000000004</v>
      </c>
      <c r="E417" s="9">
        <v>3.6639807224273699</v>
      </c>
      <c r="F417" s="9"/>
      <c r="G417" s="9">
        <v>1.60231125354767</v>
      </c>
      <c r="H417" s="9">
        <v>32197.3125</v>
      </c>
      <c r="I417" s="9">
        <v>356309.09375</v>
      </c>
      <c r="J417" s="9"/>
      <c r="K417" s="9"/>
      <c r="L417" s="9" t="e">
        <f>IF(OR(OIT!#REF!="",OIT!#REF!=""),"",OIT!#REF!-OIT!#REF!)</f>
        <v>#REF!</v>
      </c>
      <c r="M417" s="9" t="e">
        <f>IF(OR(OIT!#REF!="",OIT!#REF!=""),"",OIT!#REF!-OIT!#REF!)</f>
        <v>#REF!</v>
      </c>
      <c r="N417" s="9" t="e">
        <f>IF(OR(OIT!#REF!="",OIT!#REF!=""),"",OIT!#REF!-OIT!#REF!)</f>
        <v>#REF!</v>
      </c>
      <c r="O417" s="9">
        <f t="shared" si="24"/>
        <v>0</v>
      </c>
      <c r="P417" s="9">
        <f t="shared" si="25"/>
        <v>8787.5223531933407</v>
      </c>
      <c r="Q417" s="9" t="str">
        <f t="shared" si="26"/>
        <v/>
      </c>
      <c r="R417" s="9">
        <f t="shared" si="27"/>
        <v>97246.443347536755</v>
      </c>
    </row>
    <row r="418" spans="1:18" ht="15.5">
      <c r="A418" s="7" t="s">
        <v>22</v>
      </c>
      <c r="B418" s="7" t="s">
        <v>23</v>
      </c>
      <c r="C418" s="8">
        <v>2010</v>
      </c>
      <c r="D418" s="9">
        <v>9.8032939999999993</v>
      </c>
      <c r="E418" s="9">
        <v>3.7259826660156299</v>
      </c>
      <c r="F418" s="9"/>
      <c r="G418" s="9">
        <v>1.6132984161377</v>
      </c>
      <c r="H418" s="9">
        <v>31299.1015625</v>
      </c>
      <c r="I418" s="9">
        <v>369933.65625</v>
      </c>
      <c r="J418" s="9"/>
      <c r="K418" s="9"/>
      <c r="L418" s="9" t="e">
        <f>IF(OR(OIT!#REF!="",OIT!#REF!=""),"",OIT!#REF!-OIT!#REF!)</f>
        <v>#REF!</v>
      </c>
      <c r="M418" s="9" t="e">
        <f>IF(OR(OIT!#REF!="",OIT!#REF!=""),"",OIT!#REF!-OIT!#REF!)</f>
        <v>#REF!</v>
      </c>
      <c r="N418" s="9" t="e">
        <f>IF(OR(OIT!#REF!="",OIT!#REF!=""),"",OIT!#REF!-OIT!#REF!)</f>
        <v>#REF!</v>
      </c>
      <c r="O418" s="9">
        <f t="shared" si="24"/>
        <v>0</v>
      </c>
      <c r="P418" s="9">
        <f t="shared" si="25"/>
        <v>8400.2273676623445</v>
      </c>
      <c r="Q418" s="9" t="str">
        <f t="shared" si="26"/>
        <v/>
      </c>
      <c r="R418" s="9">
        <f t="shared" si="27"/>
        <v>99284.857018829774</v>
      </c>
    </row>
    <row r="419" spans="1:18" ht="15.5">
      <c r="A419" s="7" t="s">
        <v>22</v>
      </c>
      <c r="B419" s="7" t="s">
        <v>23</v>
      </c>
      <c r="C419" s="8">
        <v>2011</v>
      </c>
      <c r="D419" s="9">
        <v>9.9149039999999999</v>
      </c>
      <c r="E419" s="9">
        <v>3.7876222133636501</v>
      </c>
      <c r="F419" s="9"/>
      <c r="G419" s="9">
        <v>1.63031017780304</v>
      </c>
      <c r="H419" s="9">
        <v>32894.796875</v>
      </c>
      <c r="I419" s="9">
        <v>379666.28125</v>
      </c>
      <c r="J419" s="9"/>
      <c r="K419" s="9"/>
      <c r="L419" s="9" t="e">
        <f>IF(OR(OIT!#REF!="",OIT!#REF!=""),"",OIT!#REF!-OIT!#REF!)</f>
        <v>#REF!</v>
      </c>
      <c r="M419" s="9" t="e">
        <f>IF(OR(OIT!#REF!="",OIT!#REF!=""),"",OIT!#REF!-OIT!#REF!)</f>
        <v>#REF!</v>
      </c>
      <c r="N419" s="9" t="e">
        <f>IF(OR(OIT!#REF!="",OIT!#REF!=""),"",OIT!#REF!-OIT!#REF!)</f>
        <v>#REF!</v>
      </c>
      <c r="O419" s="9">
        <f t="shared" si="24"/>
        <v>0</v>
      </c>
      <c r="P419" s="9">
        <f t="shared" si="25"/>
        <v>8684.8146467562619</v>
      </c>
      <c r="Q419" s="9" t="str">
        <f t="shared" si="26"/>
        <v/>
      </c>
      <c r="R419" s="9">
        <f t="shared" si="27"/>
        <v>100238.6879848907</v>
      </c>
    </row>
    <row r="420" spans="1:18" ht="15.5">
      <c r="A420" s="7" t="s">
        <v>22</v>
      </c>
      <c r="B420" s="7" t="s">
        <v>23</v>
      </c>
      <c r="C420" s="8">
        <v>2012</v>
      </c>
      <c r="D420" s="9">
        <v>10.069770999999999</v>
      </c>
      <c r="E420" s="9">
        <v>3.8663029670715301</v>
      </c>
      <c r="F420" s="9"/>
      <c r="G420" s="9">
        <v>1.6475012302398699</v>
      </c>
      <c r="H420" s="9">
        <v>33060.0390625</v>
      </c>
      <c r="I420" s="9">
        <v>386812</v>
      </c>
      <c r="J420" s="9"/>
      <c r="K420" s="9"/>
      <c r="L420" s="9" t="e">
        <f>IF(OR(OIT!#REF!="",OIT!#REF!=""),"",OIT!#REF!-OIT!#REF!)</f>
        <v>#REF!</v>
      </c>
      <c r="M420" s="9" t="e">
        <f>IF(OR(OIT!#REF!="",OIT!#REF!=""),"",OIT!#REF!-OIT!#REF!)</f>
        <v>#REF!</v>
      </c>
      <c r="N420" s="9" t="e">
        <f>IF(OR(OIT!#REF!="",OIT!#REF!=""),"",OIT!#REF!-OIT!#REF!)</f>
        <v>#REF!</v>
      </c>
      <c r="O420" s="9">
        <f t="shared" si="24"/>
        <v>0</v>
      </c>
      <c r="P420" s="9">
        <f t="shared" si="25"/>
        <v>8550.8143940258269</v>
      </c>
      <c r="Q420" s="9" t="str">
        <f t="shared" si="26"/>
        <v/>
      </c>
      <c r="R420" s="9">
        <f t="shared" si="27"/>
        <v>100046.99665142503</v>
      </c>
    </row>
    <row r="421" spans="1:18" ht="15.5">
      <c r="A421" s="7" t="s">
        <v>22</v>
      </c>
      <c r="B421" s="7" t="s">
        <v>23</v>
      </c>
      <c r="C421" s="8">
        <v>2013</v>
      </c>
      <c r="D421" s="9">
        <v>10.222362</v>
      </c>
      <c r="E421" s="9">
        <v>3.9729268550872798</v>
      </c>
      <c r="F421" s="9"/>
      <c r="G421" s="9">
        <v>1.6648736000061</v>
      </c>
      <c r="H421" s="9">
        <v>34489.84375</v>
      </c>
      <c r="I421" s="9">
        <v>395055.96875</v>
      </c>
      <c r="J421" s="9"/>
      <c r="K421" s="9"/>
      <c r="L421" s="9" t="e">
        <f>IF(OR(OIT!#REF!="",OIT!#REF!=""),"",OIT!#REF!-OIT!#REF!)</f>
        <v>#REF!</v>
      </c>
      <c r="M421" s="9" t="e">
        <f>IF(OR(OIT!#REF!="",OIT!#REF!=""),"",OIT!#REF!-OIT!#REF!)</f>
        <v>#REF!</v>
      </c>
      <c r="N421" s="9" t="e">
        <f>IF(OR(OIT!#REF!="",OIT!#REF!=""),"",OIT!#REF!-OIT!#REF!)</f>
        <v>#REF!</v>
      </c>
      <c r="O421" s="9">
        <f t="shared" si="24"/>
        <v>0</v>
      </c>
      <c r="P421" s="9">
        <f t="shared" si="25"/>
        <v>8681.2179050908562</v>
      </c>
      <c r="Q421" s="9" t="str">
        <f t="shared" si="26"/>
        <v/>
      </c>
      <c r="R421" s="9">
        <f t="shared" si="27"/>
        <v>99437.010335122613</v>
      </c>
    </row>
    <row r="422" spans="1:18" ht="15.5">
      <c r="A422" s="7" t="s">
        <v>22</v>
      </c>
      <c r="B422" s="7" t="s">
        <v>23</v>
      </c>
      <c r="C422" s="8">
        <v>2014</v>
      </c>
      <c r="D422" s="9">
        <v>10.373234999999999</v>
      </c>
      <c r="E422" s="9">
        <v>4.0503301620483398</v>
      </c>
      <c r="F422" s="9"/>
      <c r="G422" s="9">
        <v>1.68242919445038</v>
      </c>
      <c r="H422" s="9">
        <v>35486.17578125</v>
      </c>
      <c r="I422" s="9">
        <v>404000.34375</v>
      </c>
      <c r="J422" s="9"/>
      <c r="K422" s="9"/>
      <c r="L422" s="9" t="e">
        <f>IF(OR(OIT!#REF!="",OIT!#REF!=""),"",OIT!#REF!-OIT!#REF!)</f>
        <v>#REF!</v>
      </c>
      <c r="M422" s="9" t="e">
        <f>IF(OR(OIT!#REF!="",OIT!#REF!=""),"",OIT!#REF!-OIT!#REF!)</f>
        <v>#REF!</v>
      </c>
      <c r="N422" s="9" t="e">
        <f>IF(OR(OIT!#REF!="",OIT!#REF!=""),"",OIT!#REF!-OIT!#REF!)</f>
        <v>#REF!</v>
      </c>
      <c r="O422" s="9">
        <f t="shared" si="24"/>
        <v>0</v>
      </c>
      <c r="P422" s="9">
        <f t="shared" si="25"/>
        <v>8761.3044767945212</v>
      </c>
      <c r="Q422" s="9" t="str">
        <f t="shared" si="26"/>
        <v/>
      </c>
      <c r="R422" s="9">
        <f t="shared" si="27"/>
        <v>99745.039931680105</v>
      </c>
    </row>
    <row r="423" spans="1:18" ht="15.5">
      <c r="A423" s="7" t="s">
        <v>22</v>
      </c>
      <c r="B423" s="7" t="s">
        <v>23</v>
      </c>
      <c r="C423" s="8">
        <v>2015</v>
      </c>
      <c r="D423" s="9">
        <v>10.523242</v>
      </c>
      <c r="E423" s="9">
        <v>4.1364884376525897</v>
      </c>
      <c r="F423" s="9"/>
      <c r="G423" s="9">
        <v>1.7001698017120399</v>
      </c>
      <c r="H423" s="9">
        <v>35982.98046875</v>
      </c>
      <c r="I423" s="9">
        <v>411295.75</v>
      </c>
      <c r="J423" s="9"/>
      <c r="K423" s="9"/>
      <c r="L423" s="9" t="e">
        <f>IF(OR(OIT!#REF!="",OIT!#REF!=""),"",OIT!#REF!-OIT!#REF!)</f>
        <v>#REF!</v>
      </c>
      <c r="M423" s="9" t="e">
        <f>IF(OR(OIT!#REF!="",OIT!#REF!=""),"",OIT!#REF!-OIT!#REF!)</f>
        <v>#REF!</v>
      </c>
      <c r="N423" s="9" t="e">
        <f>IF(OR(OIT!#REF!="",OIT!#REF!=""),"",OIT!#REF!-OIT!#REF!)</f>
        <v>#REF!</v>
      </c>
      <c r="O423" s="9">
        <f t="shared" si="24"/>
        <v>0</v>
      </c>
      <c r="P423" s="9">
        <f t="shared" si="25"/>
        <v>8698.9196298031802</v>
      </c>
      <c r="Q423" s="9" t="str">
        <f t="shared" si="26"/>
        <v/>
      </c>
      <c r="R423" s="9">
        <f t="shared" si="27"/>
        <v>99431.137352194724</v>
      </c>
    </row>
    <row r="424" spans="1:18" ht="15.5">
      <c r="A424" s="7" t="s">
        <v>22</v>
      </c>
      <c r="B424" s="7" t="s">
        <v>23</v>
      </c>
      <c r="C424" s="8">
        <v>2016</v>
      </c>
      <c r="D424" s="9">
        <v>10.671457</v>
      </c>
      <c r="E424" s="9">
        <v>4.2114229202270499</v>
      </c>
      <c r="F424" s="9"/>
      <c r="G424" s="9">
        <v>1.7158912420272801</v>
      </c>
      <c r="H424" s="9">
        <v>36635.1640625</v>
      </c>
      <c r="I424" s="9">
        <v>419049.75</v>
      </c>
      <c r="J424" s="9"/>
      <c r="K424" s="9"/>
      <c r="L424" s="9" t="e">
        <f>IF(OR(OIT!#REF!="",OIT!#REF!=""),"",OIT!#REF!-OIT!#REF!)</f>
        <v>#REF!</v>
      </c>
      <c r="M424" s="9" t="e">
        <f>IF(OR(OIT!#REF!="",OIT!#REF!=""),"",OIT!#REF!-OIT!#REF!)</f>
        <v>#REF!</v>
      </c>
      <c r="N424" s="9" t="e">
        <f>IF(OR(OIT!#REF!="",OIT!#REF!=""),"",OIT!#REF!-OIT!#REF!)</f>
        <v>#REF!</v>
      </c>
      <c r="O424" s="9">
        <f t="shared" si="24"/>
        <v>0</v>
      </c>
      <c r="P424" s="9">
        <f t="shared" si="25"/>
        <v>8698.9990690663981</v>
      </c>
      <c r="Q424" s="9" t="str">
        <f t="shared" si="26"/>
        <v/>
      </c>
      <c r="R424" s="9">
        <f t="shared" si="27"/>
        <v>99503.127075493961</v>
      </c>
    </row>
    <row r="425" spans="1:18" ht="15.5">
      <c r="A425" s="7" t="s">
        <v>22</v>
      </c>
      <c r="B425" s="7" t="s">
        <v>23</v>
      </c>
      <c r="C425" s="8">
        <v>2017</v>
      </c>
      <c r="D425" s="9">
        <v>10.817754000000001</v>
      </c>
      <c r="E425" s="9">
        <v>4.2942309379577601</v>
      </c>
      <c r="F425" s="9"/>
      <c r="G425" s="9">
        <v>1.7295112609863299</v>
      </c>
      <c r="H425" s="9">
        <v>37554.80078125</v>
      </c>
      <c r="I425" s="9">
        <v>428025</v>
      </c>
      <c r="J425" s="9"/>
      <c r="K425" s="9"/>
      <c r="L425" s="9" t="e">
        <f>IF(OR(OIT!#REF!="",OIT!#REF!=""),"",OIT!#REF!-OIT!#REF!)</f>
        <v>#REF!</v>
      </c>
      <c r="M425" s="9" t="e">
        <f>IF(OR(OIT!#REF!="",OIT!#REF!=""),"",OIT!#REF!-OIT!#REF!)</f>
        <v>#REF!</v>
      </c>
      <c r="N425" s="9" t="e">
        <f>IF(OR(OIT!#REF!="",OIT!#REF!=""),"",OIT!#REF!-OIT!#REF!)</f>
        <v>#REF!</v>
      </c>
      <c r="O425" s="9">
        <f t="shared" si="24"/>
        <v>0</v>
      </c>
      <c r="P425" s="9">
        <f t="shared" si="25"/>
        <v>8745.4078096485009</v>
      </c>
      <c r="Q425" s="9" t="str">
        <f t="shared" si="26"/>
        <v/>
      </c>
      <c r="R425" s="9">
        <f t="shared" si="27"/>
        <v>99674.425102893758</v>
      </c>
    </row>
    <row r="426" spans="1:18" ht="15.5">
      <c r="A426" s="7" t="s">
        <v>22</v>
      </c>
      <c r="B426" s="7" t="s">
        <v>23</v>
      </c>
      <c r="C426" s="8">
        <v>2018</v>
      </c>
      <c r="D426" s="9">
        <v>10.962362000000001</v>
      </c>
      <c r="E426" s="9">
        <v>4.3706393241882298</v>
      </c>
      <c r="F426" s="9"/>
      <c r="G426" s="9">
        <v>1.74072194099426</v>
      </c>
      <c r="H426" s="9">
        <v>38181.1484375</v>
      </c>
      <c r="I426" s="9">
        <v>436151.53125</v>
      </c>
      <c r="J426" s="9"/>
      <c r="K426" s="9"/>
      <c r="L426" s="9" t="e">
        <f>IF(OR(OIT!#REF!="",OIT!#REF!=""),"",OIT!#REF!-OIT!#REF!)</f>
        <v>#REF!</v>
      </c>
      <c r="M426" s="9" t="e">
        <f>IF(OR(OIT!#REF!="",OIT!#REF!=""),"",OIT!#REF!-OIT!#REF!)</f>
        <v>#REF!</v>
      </c>
      <c r="N426" s="9" t="e">
        <f>IF(OR(OIT!#REF!="",OIT!#REF!=""),"",OIT!#REF!-OIT!#REF!)</f>
        <v>#REF!</v>
      </c>
      <c r="O426" s="9">
        <f t="shared" si="24"/>
        <v>0</v>
      </c>
      <c r="P426" s="9">
        <f t="shared" si="25"/>
        <v>8735.8268677526903</v>
      </c>
      <c r="Q426" s="9" t="str">
        <f t="shared" si="26"/>
        <v/>
      </c>
      <c r="R426" s="9">
        <f t="shared" si="27"/>
        <v>99791.243087990923</v>
      </c>
    </row>
    <row r="427" spans="1:18" ht="15.5">
      <c r="A427" s="7" t="s">
        <v>22</v>
      </c>
      <c r="B427" s="7" t="s">
        <v>23</v>
      </c>
      <c r="C427" s="8">
        <v>2019</v>
      </c>
      <c r="D427" s="9">
        <v>11.105162999999999</v>
      </c>
      <c r="E427" s="9">
        <v>4.43102931976318</v>
      </c>
      <c r="F427" s="9"/>
      <c r="G427" s="9">
        <v>1.75218117237091</v>
      </c>
      <c r="H427" s="9">
        <v>37523.25</v>
      </c>
      <c r="I427" s="9">
        <v>445967.125</v>
      </c>
      <c r="J427" s="9"/>
      <c r="K427" s="9"/>
      <c r="L427" s="9" t="e">
        <f>IF(OR(OIT!#REF!="",OIT!#REF!=""),"",OIT!#REF!-OIT!#REF!)</f>
        <v>#REF!</v>
      </c>
      <c r="M427" s="9" t="e">
        <f>IF(OR(OIT!#REF!="",OIT!#REF!=""),"",OIT!#REF!-OIT!#REF!)</f>
        <v>#REF!</v>
      </c>
      <c r="N427" s="9" t="e">
        <f>IF(OR(OIT!#REF!="",OIT!#REF!=""),"",OIT!#REF!-OIT!#REF!)</f>
        <v>#REF!</v>
      </c>
      <c r="O427" s="9">
        <f t="shared" si="24"/>
        <v>0</v>
      </c>
      <c r="P427" s="9">
        <f t="shared" si="25"/>
        <v>8468.2919683333221</v>
      </c>
      <c r="Q427" s="9" t="str">
        <f t="shared" si="26"/>
        <v/>
      </c>
      <c r="R427" s="9">
        <f t="shared" si="27"/>
        <v>100646.39450948952</v>
      </c>
    </row>
    <row r="428" spans="1:18" ht="15.5">
      <c r="A428" s="7" t="s">
        <v>22</v>
      </c>
      <c r="B428" s="7" t="s">
        <v>23</v>
      </c>
      <c r="C428" s="8">
        <v>2020</v>
      </c>
      <c r="D428" s="9">
        <v>11.243848</v>
      </c>
      <c r="E428" s="9">
        <v>4.3847107887268102</v>
      </c>
      <c r="F428" s="9"/>
      <c r="G428" s="9">
        <v>1.7638955116271999</v>
      </c>
      <c r="H428" s="9">
        <v>36297.81640625</v>
      </c>
      <c r="I428" s="9">
        <v>452145.46875</v>
      </c>
      <c r="J428" s="9"/>
      <c r="K428" s="9"/>
      <c r="L428" s="9" t="e">
        <f>IF(OR(OIT!#REF!="",OIT!#REF!=""),"",OIT!#REF!-OIT!#REF!)</f>
        <v>#REF!</v>
      </c>
      <c r="M428" s="9" t="e">
        <f>IF(OR(OIT!#REF!="",OIT!#REF!=""),"",OIT!#REF!-OIT!#REF!)</f>
        <v>#REF!</v>
      </c>
      <c r="N428" s="9" t="e">
        <f>IF(OR(OIT!#REF!="",OIT!#REF!=""),"",OIT!#REF!-OIT!#REF!)</f>
        <v>#REF!</v>
      </c>
      <c r="O428" s="9">
        <f t="shared" si="24"/>
        <v>0</v>
      </c>
      <c r="P428" s="9">
        <f t="shared" si="25"/>
        <v>8278.2692303384065</v>
      </c>
      <c r="Q428" s="9" t="str">
        <f t="shared" si="26"/>
        <v/>
      </c>
      <c r="R428" s="9">
        <f t="shared" si="27"/>
        <v>103118.65264009571</v>
      </c>
    </row>
    <row r="429" spans="1:18" ht="15.5">
      <c r="A429" s="7" t="s">
        <v>22</v>
      </c>
      <c r="B429" s="7" t="s">
        <v>23</v>
      </c>
      <c r="C429" s="8">
        <v>2021</v>
      </c>
      <c r="D429" s="9">
        <v>11.374586000000001</v>
      </c>
      <c r="E429" s="9">
        <v>4.4868807792663601</v>
      </c>
      <c r="F429" s="9"/>
      <c r="G429" s="9">
        <v>1.77587223052979</v>
      </c>
      <c r="H429" s="9">
        <v>35630.4609375</v>
      </c>
      <c r="I429" s="9">
        <v>454898.65625</v>
      </c>
      <c r="J429" s="9"/>
      <c r="K429" s="9"/>
      <c r="L429" s="9" t="e">
        <f>IF(OR(OIT!#REF!="",OIT!#REF!=""),"",OIT!#REF!-OIT!#REF!)</f>
        <v>#REF!</v>
      </c>
      <c r="M429" s="9" t="e">
        <f>IF(OR(OIT!#REF!="",OIT!#REF!=""),"",OIT!#REF!-OIT!#REF!)</f>
        <v>#REF!</v>
      </c>
      <c r="N429" s="9" t="e">
        <f>IF(OR(OIT!#REF!="",OIT!#REF!=""),"",OIT!#REF!-OIT!#REF!)</f>
        <v>#REF!</v>
      </c>
      <c r="O429" s="9">
        <f t="shared" si="24"/>
        <v>0</v>
      </c>
      <c r="P429" s="9">
        <f t="shared" si="25"/>
        <v>7941.0313512555276</v>
      </c>
      <c r="Q429" s="9" t="str">
        <f t="shared" si="26"/>
        <v/>
      </c>
      <c r="R429" s="9">
        <f t="shared" si="27"/>
        <v>101384.1638833068</v>
      </c>
    </row>
    <row r="430" spans="1:18" ht="15.5">
      <c r="A430" s="7" t="s">
        <v>22</v>
      </c>
      <c r="B430" s="7" t="s">
        <v>23</v>
      </c>
      <c r="C430" s="8">
        <v>2022</v>
      </c>
      <c r="D430" s="9">
        <v>11.503606</v>
      </c>
      <c r="E430" s="9">
        <v>4.59136867523193</v>
      </c>
      <c r="F430" s="9"/>
      <c r="G430" s="9">
        <v>1.78811812400818</v>
      </c>
      <c r="H430" s="9">
        <v>35031.1640625</v>
      </c>
      <c r="I430" s="9">
        <v>456819.9375</v>
      </c>
      <c r="J430" s="9"/>
      <c r="K430" s="9"/>
      <c r="L430" s="9" t="e">
        <f>IF(OR(OIT!#REF!="",OIT!#REF!=""),"",OIT!#REF!-OIT!#REF!)</f>
        <v>#REF!</v>
      </c>
      <c r="M430" s="9" t="e">
        <f>IF(OR(OIT!#REF!="",OIT!#REF!=""),"",OIT!#REF!-OIT!#REF!)</f>
        <v>#REF!</v>
      </c>
      <c r="N430" s="9" t="e">
        <f>IF(OR(OIT!#REF!="",OIT!#REF!=""),"",OIT!#REF!-OIT!#REF!)</f>
        <v>#REF!</v>
      </c>
      <c r="O430" s="9">
        <f t="shared" si="24"/>
        <v>0</v>
      </c>
      <c r="P430" s="9">
        <f t="shared" si="25"/>
        <v>7629.7867891714059</v>
      </c>
      <c r="Q430" s="9" t="str">
        <f t="shared" si="26"/>
        <v/>
      </c>
      <c r="R430" s="9">
        <f t="shared" si="27"/>
        <v>99495.372690132324</v>
      </c>
    </row>
    <row r="431" spans="1:18" ht="15.5">
      <c r="A431" s="7" t="s">
        <v>22</v>
      </c>
      <c r="B431" s="7" t="s">
        <v>23</v>
      </c>
      <c r="C431" s="8">
        <v>2023</v>
      </c>
      <c r="D431" s="9">
        <v>11.637397999999999</v>
      </c>
      <c r="E431" s="9">
        <v>4.6655931472778303</v>
      </c>
      <c r="F431" s="9"/>
      <c r="G431" s="9">
        <v>1.8006407022476201</v>
      </c>
      <c r="H431" s="9">
        <v>34378.16796875</v>
      </c>
      <c r="I431" s="9">
        <v>457425.65625</v>
      </c>
      <c r="J431" s="9"/>
      <c r="K431" s="9"/>
      <c r="L431" s="9" t="e">
        <f>IF(OR(OIT!#REF!="",OIT!#REF!=""),"",OIT!#REF!-OIT!#REF!)</f>
        <v>#REF!</v>
      </c>
      <c r="M431" s="9" t="e">
        <f>IF(OR(OIT!#REF!="",OIT!#REF!=""),"",OIT!#REF!-OIT!#REF!)</f>
        <v>#REF!</v>
      </c>
      <c r="N431" s="9" t="e">
        <f>IF(OR(OIT!#REF!="",OIT!#REF!=""),"",OIT!#REF!-OIT!#REF!)</f>
        <v>#REF!</v>
      </c>
      <c r="O431" s="9">
        <f t="shared" si="24"/>
        <v>0</v>
      </c>
      <c r="P431" s="9">
        <f t="shared" si="25"/>
        <v>7368.44531521317</v>
      </c>
      <c r="Q431" s="9" t="str">
        <f t="shared" si="26"/>
        <v/>
      </c>
      <c r="R431" s="9">
        <f t="shared" si="27"/>
        <v>98042.337128535932</v>
      </c>
    </row>
    <row r="432" spans="1:18" ht="15.5">
      <c r="A432" s="7" t="s">
        <v>22</v>
      </c>
      <c r="B432" s="7" t="s">
        <v>23</v>
      </c>
      <c r="C432" s="8">
        <v>2024</v>
      </c>
      <c r="D432" s="9"/>
      <c r="E432" s="9"/>
      <c r="F432" s="9"/>
      <c r="G432" s="9"/>
      <c r="H432" s="9"/>
      <c r="I432" s="9"/>
      <c r="J432" s="9"/>
      <c r="K432" s="9"/>
      <c r="L432" s="9" t="e">
        <f>IF(OR(OIT!#REF!="",OIT!#REF!=""),"",OIT!#REF!-OIT!#REF!)</f>
        <v>#REF!</v>
      </c>
      <c r="M432" s="9" t="e">
        <f>IF(OR(OIT!#REF!="",OIT!#REF!=""),"",OIT!#REF!-OIT!#REF!)</f>
        <v>#REF!</v>
      </c>
      <c r="N432" s="9" t="e">
        <f>IF(OR(OIT!#REF!="",OIT!#REF!=""),"",OIT!#REF!-OIT!#REF!)</f>
        <v>#REF!</v>
      </c>
      <c r="O432" s="9">
        <f t="shared" si="24"/>
        <v>0</v>
      </c>
      <c r="P432" s="9" t="str">
        <f t="shared" si="25"/>
        <v/>
      </c>
      <c r="Q432" s="9" t="str">
        <f t="shared" si="26"/>
        <v/>
      </c>
      <c r="R432" s="9" t="str">
        <f t="shared" si="27"/>
        <v/>
      </c>
    </row>
    <row r="433" spans="1:18" ht="15.5">
      <c r="A433" s="7" t="s">
        <v>22</v>
      </c>
      <c r="B433" s="7" t="s">
        <v>23</v>
      </c>
      <c r="C433" s="8">
        <v>2025</v>
      </c>
      <c r="D433" s="9"/>
      <c r="E433" s="9"/>
      <c r="F433" s="9"/>
      <c r="G433" s="9"/>
      <c r="H433" s="9"/>
      <c r="I433" s="9"/>
      <c r="J433" s="9"/>
      <c r="K433" s="9"/>
      <c r="L433" s="9" t="e">
        <f>IF(OR(OIT!#REF!="",OIT!#REF!=""),"",OIT!#REF!-OIT!#REF!)</f>
        <v>#REF!</v>
      </c>
      <c r="M433" s="9" t="e">
        <f>IF(OR(OIT!#REF!="",OIT!#REF!=""),"",OIT!#REF!-OIT!#REF!)</f>
        <v>#REF!</v>
      </c>
      <c r="N433" s="9" t="e">
        <f>IF(OR(OIT!#REF!="",OIT!#REF!=""),"",OIT!#REF!-OIT!#REF!)</f>
        <v>#REF!</v>
      </c>
      <c r="O433" s="9">
        <f t="shared" si="24"/>
        <v>0</v>
      </c>
      <c r="P433" s="9" t="str">
        <f t="shared" si="25"/>
        <v/>
      </c>
      <c r="Q433" s="9" t="str">
        <f t="shared" si="26"/>
        <v/>
      </c>
      <c r="R433" s="9" t="str">
        <f t="shared" si="27"/>
        <v/>
      </c>
    </row>
    <row r="434" spans="1:18" ht="15.5">
      <c r="A434" s="7" t="s">
        <v>24</v>
      </c>
      <c r="B434" s="7" t="s">
        <v>25</v>
      </c>
      <c r="C434" s="8">
        <v>1990</v>
      </c>
      <c r="D434" s="9">
        <v>4.9804880000000002</v>
      </c>
      <c r="E434" s="9">
        <v>1.4434295892715501</v>
      </c>
      <c r="F434" s="9"/>
      <c r="G434" s="9">
        <v>1.76762890815735</v>
      </c>
      <c r="H434" s="9">
        <v>21823.56640625</v>
      </c>
      <c r="I434" s="9">
        <v>78281.34375</v>
      </c>
      <c r="J434" s="9">
        <v>1.2587099075317401</v>
      </c>
      <c r="K434" s="9">
        <v>0.60014432668685902</v>
      </c>
      <c r="L434" s="9" t="e">
        <f>IF(OR(OIT!#REF!="",OIT!#REF!=""),"",OIT!#REF!-OIT!#REF!)</f>
        <v>#REF!</v>
      </c>
      <c r="M434" s="9" t="e">
        <f>IF(OR(OIT!#REF!="",OIT!#REF!=""),"",OIT!#REF!-OIT!#REF!)</f>
        <v>#REF!</v>
      </c>
      <c r="N434" s="9" t="e">
        <f>IF(OR(OIT!#REF!="",OIT!#REF!=""),"",OIT!#REF!-OIT!#REF!)</f>
        <v>#REF!</v>
      </c>
      <c r="O434" s="9">
        <f t="shared" si="24"/>
        <v>0</v>
      </c>
      <c r="P434" s="9">
        <f t="shared" si="25"/>
        <v>15119.245558256578</v>
      </c>
      <c r="Q434" s="9" t="str">
        <f t="shared" si="26"/>
        <v/>
      </c>
      <c r="R434" s="9">
        <f t="shared" si="27"/>
        <v>54232.880032275032</v>
      </c>
    </row>
    <row r="435" spans="1:18" ht="15.5">
      <c r="A435" s="7" t="s">
        <v>24</v>
      </c>
      <c r="B435" s="7" t="s">
        <v>25</v>
      </c>
      <c r="C435" s="8">
        <v>1991</v>
      </c>
      <c r="D435" s="9">
        <v>5.1237919999999999</v>
      </c>
      <c r="E435" s="9">
        <v>1.4944490194320701</v>
      </c>
      <c r="F435" s="9"/>
      <c r="G435" s="9">
        <v>1.77876436710358</v>
      </c>
      <c r="H435" s="9">
        <v>22533.275390625</v>
      </c>
      <c r="I435" s="9">
        <v>80803.828125</v>
      </c>
      <c r="J435" s="9">
        <v>1.2548812627792401</v>
      </c>
      <c r="K435" s="9">
        <v>0.60014432668685902</v>
      </c>
      <c r="L435" s="9" t="e">
        <f>IF(OR(OIT!#REF!="",OIT!#REF!=""),"",OIT!#REF!-OIT!#REF!)</f>
        <v>#REF!</v>
      </c>
      <c r="M435" s="9" t="e">
        <f>IF(OR(OIT!#REF!="",OIT!#REF!=""),"",OIT!#REF!-OIT!#REF!)</f>
        <v>#REF!</v>
      </c>
      <c r="N435" s="9" t="e">
        <f>IF(OR(OIT!#REF!="",OIT!#REF!=""),"",OIT!#REF!-OIT!#REF!)</f>
        <v>#REF!</v>
      </c>
      <c r="O435" s="9">
        <f t="shared" si="24"/>
        <v>0</v>
      </c>
      <c r="P435" s="9">
        <f t="shared" si="25"/>
        <v>15077.981983746917</v>
      </c>
      <c r="Q435" s="9" t="str">
        <f t="shared" si="26"/>
        <v/>
      </c>
      <c r="R435" s="9">
        <f t="shared" si="27"/>
        <v>54069.310544770255</v>
      </c>
    </row>
    <row r="436" spans="1:18" ht="15.5">
      <c r="A436" s="7" t="s">
        <v>24</v>
      </c>
      <c r="B436" s="7" t="s">
        <v>25</v>
      </c>
      <c r="C436" s="8">
        <v>1992</v>
      </c>
      <c r="D436" s="9">
        <v>5.2714309999999998</v>
      </c>
      <c r="E436" s="9">
        <v>1.67464995384216</v>
      </c>
      <c r="F436" s="9"/>
      <c r="G436" s="9">
        <v>1.7899698019027701</v>
      </c>
      <c r="H436" s="9">
        <v>23800.615234375</v>
      </c>
      <c r="I436" s="9">
        <v>84918.625</v>
      </c>
      <c r="J436" s="9">
        <v>1.2116793394088701</v>
      </c>
      <c r="K436" s="9">
        <v>0.60014432668685902</v>
      </c>
      <c r="L436" s="9" t="e">
        <f>IF(OR(OIT!#REF!="",OIT!#REF!=""),"",OIT!#REF!-OIT!#REF!)</f>
        <v>#REF!</v>
      </c>
      <c r="M436" s="9" t="e">
        <f>IF(OR(OIT!#REF!="",OIT!#REF!=""),"",OIT!#REF!-OIT!#REF!)</f>
        <v>#REF!</v>
      </c>
      <c r="N436" s="9" t="e">
        <f>IF(OR(OIT!#REF!="",OIT!#REF!=""),"",OIT!#REF!-OIT!#REF!)</f>
        <v>#REF!</v>
      </c>
      <c r="O436" s="9">
        <f t="shared" si="24"/>
        <v>0</v>
      </c>
      <c r="P436" s="9">
        <f t="shared" si="25"/>
        <v>14212.292652425122</v>
      </c>
      <c r="Q436" s="9" t="str">
        <f t="shared" si="26"/>
        <v/>
      </c>
      <c r="R436" s="9">
        <f t="shared" si="27"/>
        <v>50708.28372530669</v>
      </c>
    </row>
    <row r="437" spans="1:18" ht="15.5">
      <c r="A437" s="7" t="s">
        <v>24</v>
      </c>
      <c r="B437" s="7" t="s">
        <v>25</v>
      </c>
      <c r="C437" s="8">
        <v>1993</v>
      </c>
      <c r="D437" s="9">
        <v>5.4232490000000002</v>
      </c>
      <c r="E437" s="9">
        <v>1.71754562854767</v>
      </c>
      <c r="F437" s="9"/>
      <c r="G437" s="9">
        <v>1.8012460470199601</v>
      </c>
      <c r="H437" s="9">
        <v>25283.400390625</v>
      </c>
      <c r="I437" s="9">
        <v>91687.03125</v>
      </c>
      <c r="J437" s="9">
        <v>1.2125394344329801</v>
      </c>
      <c r="K437" s="9">
        <v>0.57317185401916504</v>
      </c>
      <c r="L437" s="9" t="e">
        <f>IF(OR(OIT!#REF!="",OIT!#REF!=""),"",OIT!#REF!-OIT!#REF!)</f>
        <v>#REF!</v>
      </c>
      <c r="M437" s="9" t="e">
        <f>IF(OR(OIT!#REF!="",OIT!#REF!=""),"",OIT!#REF!-OIT!#REF!)</f>
        <v>#REF!</v>
      </c>
      <c r="N437" s="9" t="e">
        <f>IF(OR(OIT!#REF!="",OIT!#REF!=""),"",OIT!#REF!-OIT!#REF!)</f>
        <v>#REF!</v>
      </c>
      <c r="O437" s="9">
        <f t="shared" si="24"/>
        <v>0</v>
      </c>
      <c r="P437" s="9">
        <f t="shared" si="25"/>
        <v>14720.657181028868</v>
      </c>
      <c r="Q437" s="9" t="str">
        <f t="shared" si="26"/>
        <v/>
      </c>
      <c r="R437" s="9">
        <f t="shared" si="27"/>
        <v>53382.588343535965</v>
      </c>
    </row>
    <row r="438" spans="1:18" ht="15.5">
      <c r="A438" s="7" t="s">
        <v>24</v>
      </c>
      <c r="B438" s="7" t="s">
        <v>25</v>
      </c>
      <c r="C438" s="8">
        <v>1994</v>
      </c>
      <c r="D438" s="9">
        <v>5.5792419999999998</v>
      </c>
      <c r="E438" s="9">
        <v>1.7614605426788299</v>
      </c>
      <c r="F438" s="9"/>
      <c r="G438" s="9">
        <v>1.81259322166443</v>
      </c>
      <c r="H438" s="9">
        <v>24953.892578125</v>
      </c>
      <c r="I438" s="9">
        <v>97906.421875</v>
      </c>
      <c r="J438" s="9">
        <v>1.1298971176147501</v>
      </c>
      <c r="K438" s="9">
        <v>0.55514103174209595</v>
      </c>
      <c r="L438" s="9" t="e">
        <f>IF(OR(OIT!#REF!="",OIT!#REF!=""),"",OIT!#REF!-OIT!#REF!)</f>
        <v>#REF!</v>
      </c>
      <c r="M438" s="9" t="e">
        <f>IF(OR(OIT!#REF!="",OIT!#REF!=""),"",OIT!#REF!-OIT!#REF!)</f>
        <v>#REF!</v>
      </c>
      <c r="N438" s="9" t="e">
        <f>IF(OR(OIT!#REF!="",OIT!#REF!=""),"",OIT!#REF!-OIT!#REF!)</f>
        <v>#REF!</v>
      </c>
      <c r="O438" s="9">
        <f t="shared" si="24"/>
        <v>0</v>
      </c>
      <c r="P438" s="9">
        <f t="shared" si="25"/>
        <v>14166.591855742116</v>
      </c>
      <c r="Q438" s="9" t="str">
        <f t="shared" si="26"/>
        <v/>
      </c>
      <c r="R438" s="9">
        <f t="shared" si="27"/>
        <v>55582.523424625724</v>
      </c>
    </row>
    <row r="439" spans="1:18" ht="15.5">
      <c r="A439" s="7" t="s">
        <v>24</v>
      </c>
      <c r="B439" s="7" t="s">
        <v>25</v>
      </c>
      <c r="C439" s="8">
        <v>1995</v>
      </c>
      <c r="D439" s="9">
        <v>5.7396370000000001</v>
      </c>
      <c r="E439" s="9">
        <v>1.8064539432525599</v>
      </c>
      <c r="F439" s="9"/>
      <c r="G439" s="9">
        <v>1.8240119218826301</v>
      </c>
      <c r="H439" s="9">
        <v>25971.98828125</v>
      </c>
      <c r="I439" s="9">
        <v>102051.3046875</v>
      </c>
      <c r="J439" s="9">
        <v>1.12741363048553</v>
      </c>
      <c r="K439" s="9">
        <v>0.52918344736099199</v>
      </c>
      <c r="L439" s="9" t="e">
        <f>IF(OR(OIT!#REF!="",OIT!#REF!=""),"",OIT!#REF!-OIT!#REF!)</f>
        <v>#REF!</v>
      </c>
      <c r="M439" s="9" t="e">
        <f>IF(OR(OIT!#REF!="",OIT!#REF!=""),"",OIT!#REF!-OIT!#REF!)</f>
        <v>#REF!</v>
      </c>
      <c r="N439" s="9" t="e">
        <f>IF(OR(OIT!#REF!="",OIT!#REF!=""),"",OIT!#REF!-OIT!#REF!)</f>
        <v>#REF!</v>
      </c>
      <c r="O439" s="9">
        <f t="shared" si="24"/>
        <v>0</v>
      </c>
      <c r="P439" s="9">
        <f t="shared" si="25"/>
        <v>14377.332108720617</v>
      </c>
      <c r="Q439" s="9" t="str">
        <f t="shared" si="26"/>
        <v/>
      </c>
      <c r="R439" s="9">
        <f t="shared" si="27"/>
        <v>56492.613647129241</v>
      </c>
    </row>
    <row r="440" spans="1:18" ht="15.5">
      <c r="A440" s="7" t="s">
        <v>24</v>
      </c>
      <c r="B440" s="7" t="s">
        <v>25</v>
      </c>
      <c r="C440" s="8">
        <v>1996</v>
      </c>
      <c r="D440" s="9">
        <v>5.9039539999999997</v>
      </c>
      <c r="E440" s="9">
        <v>1.985023021698</v>
      </c>
      <c r="F440" s="9"/>
      <c r="G440" s="9">
        <v>1.8355025053024301</v>
      </c>
      <c r="H440" s="9">
        <v>26901.37109375</v>
      </c>
      <c r="I440" s="9">
        <v>106462.6796875</v>
      </c>
      <c r="J440" s="9">
        <v>1.0792804956436199</v>
      </c>
      <c r="K440" s="9">
        <v>0.53059405088424705</v>
      </c>
      <c r="L440" s="9" t="e">
        <f>IF(OR(OIT!#REF!="",OIT!#REF!=""),"",OIT!#REF!-OIT!#REF!)</f>
        <v>#REF!</v>
      </c>
      <c r="M440" s="9" t="e">
        <f>IF(OR(OIT!#REF!="",OIT!#REF!=""),"",OIT!#REF!-OIT!#REF!)</f>
        <v>#REF!</v>
      </c>
      <c r="N440" s="9" t="e">
        <f>IF(OR(OIT!#REF!="",OIT!#REF!=""),"",OIT!#REF!-OIT!#REF!)</f>
        <v>#REF!</v>
      </c>
      <c r="O440" s="9">
        <f t="shared" si="24"/>
        <v>0</v>
      </c>
      <c r="P440" s="9">
        <f t="shared" si="25"/>
        <v>13552.170831116313</v>
      </c>
      <c r="Q440" s="9" t="str">
        <f t="shared" si="26"/>
        <v/>
      </c>
      <c r="R440" s="9">
        <f t="shared" si="27"/>
        <v>53632.969755902988</v>
      </c>
    </row>
    <row r="441" spans="1:18" ht="15.5">
      <c r="A441" s="7" t="s">
        <v>24</v>
      </c>
      <c r="B441" s="7" t="s">
        <v>25</v>
      </c>
      <c r="C441" s="8">
        <v>1997</v>
      </c>
      <c r="D441" s="9">
        <v>6.0714540000000001</v>
      </c>
      <c r="E441" s="9">
        <v>2.0884759426116899</v>
      </c>
      <c r="F441" s="9"/>
      <c r="G441" s="9">
        <v>1.8470655679702801</v>
      </c>
      <c r="H441" s="9">
        <v>28244.748046875</v>
      </c>
      <c r="I441" s="9">
        <v>112047.84375</v>
      </c>
      <c r="J441" s="9">
        <v>1.0651836395263701</v>
      </c>
      <c r="K441" s="9">
        <v>0.53514629602432295</v>
      </c>
      <c r="L441" s="9" t="e">
        <f>IF(OR(OIT!#REF!="",OIT!#REF!=""),"",OIT!#REF!-OIT!#REF!)</f>
        <v>#REF!</v>
      </c>
      <c r="M441" s="9" t="e">
        <f>IF(OR(OIT!#REF!="",OIT!#REF!=""),"",OIT!#REF!-OIT!#REF!)</f>
        <v>#REF!</v>
      </c>
      <c r="N441" s="9" t="e">
        <f>IF(OR(OIT!#REF!="",OIT!#REF!=""),"",OIT!#REF!-OIT!#REF!)</f>
        <v>#REF!</v>
      </c>
      <c r="O441" s="9">
        <f t="shared" si="24"/>
        <v>0</v>
      </c>
      <c r="P441" s="9">
        <f t="shared" si="25"/>
        <v>13524.095475839791</v>
      </c>
      <c r="Q441" s="9" t="str">
        <f t="shared" si="26"/>
        <v/>
      </c>
      <c r="R441" s="9">
        <f t="shared" si="27"/>
        <v>53650.531214585812</v>
      </c>
    </row>
    <row r="442" spans="1:18" ht="15.5">
      <c r="A442" s="7" t="s">
        <v>24</v>
      </c>
      <c r="B442" s="7" t="s">
        <v>25</v>
      </c>
      <c r="C442" s="8">
        <v>1998</v>
      </c>
      <c r="D442" s="9">
        <v>6.2344309999999998</v>
      </c>
      <c r="E442" s="9">
        <v>2.1349220275878902</v>
      </c>
      <c r="F442" s="9"/>
      <c r="G442" s="9">
        <v>1.8587014675140401</v>
      </c>
      <c r="H442" s="9">
        <v>29064.294921875</v>
      </c>
      <c r="I442" s="9">
        <v>118341.3671875</v>
      </c>
      <c r="J442" s="9">
        <v>1.04345786571503</v>
      </c>
      <c r="K442" s="9">
        <v>0.53587424755096402</v>
      </c>
      <c r="L442" s="9" t="e">
        <f>IF(OR(OIT!#REF!="",OIT!#REF!=""),"",OIT!#REF!-OIT!#REF!)</f>
        <v>#REF!</v>
      </c>
      <c r="M442" s="9" t="e">
        <f>IF(OR(OIT!#REF!="",OIT!#REF!=""),"",OIT!#REF!-OIT!#REF!)</f>
        <v>#REF!</v>
      </c>
      <c r="N442" s="9" t="e">
        <f>IF(OR(OIT!#REF!="",OIT!#REF!=""),"",OIT!#REF!-OIT!#REF!)</f>
        <v>#REF!</v>
      </c>
      <c r="O442" s="9">
        <f t="shared" si="24"/>
        <v>0</v>
      </c>
      <c r="P442" s="9">
        <f t="shared" si="25"/>
        <v>13613.750079066289</v>
      </c>
      <c r="Q442" s="9" t="str">
        <f t="shared" si="26"/>
        <v/>
      </c>
      <c r="R442" s="9">
        <f t="shared" si="27"/>
        <v>55431.236203603286</v>
      </c>
    </row>
    <row r="443" spans="1:18" ht="15.5">
      <c r="A443" s="7" t="s">
        <v>24</v>
      </c>
      <c r="B443" s="7" t="s">
        <v>25</v>
      </c>
      <c r="C443" s="8">
        <v>1999</v>
      </c>
      <c r="D443" s="9">
        <v>6.4004630000000002</v>
      </c>
      <c r="E443" s="9">
        <v>2.2990050315856898</v>
      </c>
      <c r="F443" s="9"/>
      <c r="G443" s="9">
        <v>1.87041056156158</v>
      </c>
      <c r="H443" s="9">
        <v>28515.115234375</v>
      </c>
      <c r="I443" s="9">
        <v>124927.53125</v>
      </c>
      <c r="J443" s="9">
        <v>0.95110696554184004</v>
      </c>
      <c r="K443" s="9">
        <v>0.55355399847030595</v>
      </c>
      <c r="L443" s="9" t="e">
        <f>IF(OR(OIT!#REF!="",OIT!#REF!=""),"",OIT!#REF!-OIT!#REF!)</f>
        <v>#REF!</v>
      </c>
      <c r="M443" s="9" t="e">
        <f>IF(OR(OIT!#REF!="",OIT!#REF!=""),"",OIT!#REF!-OIT!#REF!)</f>
        <v>#REF!</v>
      </c>
      <c r="N443" s="9" t="e">
        <f>IF(OR(OIT!#REF!="",OIT!#REF!=""),"",OIT!#REF!-OIT!#REF!)</f>
        <v>#REF!</v>
      </c>
      <c r="O443" s="9">
        <f t="shared" si="24"/>
        <v>0</v>
      </c>
      <c r="P443" s="9">
        <f t="shared" si="25"/>
        <v>12403.241768769556</v>
      </c>
      <c r="Q443" s="9" t="str">
        <f t="shared" si="26"/>
        <v/>
      </c>
      <c r="R443" s="9">
        <f t="shared" si="27"/>
        <v>54339.825069383987</v>
      </c>
    </row>
    <row r="444" spans="1:18" ht="15.5">
      <c r="A444" s="7" t="s">
        <v>24</v>
      </c>
      <c r="B444" s="7" t="s">
        <v>25</v>
      </c>
      <c r="C444" s="8">
        <v>2000</v>
      </c>
      <c r="D444" s="9">
        <v>6.5777729999999996</v>
      </c>
      <c r="E444" s="9">
        <v>2.2951753139495898</v>
      </c>
      <c r="F444" s="9"/>
      <c r="G444" s="9">
        <v>1.8821934461593599</v>
      </c>
      <c r="H444" s="9">
        <v>30154.21484375</v>
      </c>
      <c r="I444" s="9">
        <v>129954.6171875</v>
      </c>
      <c r="J444" s="9">
        <v>0.98385173082351696</v>
      </c>
      <c r="K444" s="9">
        <v>0.57904285192489602</v>
      </c>
      <c r="L444" s="9" t="e">
        <f>IF(OR(OIT!#REF!="",OIT!#REF!=""),"",OIT!#REF!-OIT!#REF!)</f>
        <v>#REF!</v>
      </c>
      <c r="M444" s="9" t="e">
        <f>IF(OR(OIT!#REF!="",OIT!#REF!=""),"",OIT!#REF!-OIT!#REF!)</f>
        <v>#REF!</v>
      </c>
      <c r="N444" s="9" t="e">
        <f>IF(OR(OIT!#REF!="",OIT!#REF!=""),"",OIT!#REF!-OIT!#REF!)</f>
        <v>#REF!</v>
      </c>
      <c r="O444" s="9">
        <f t="shared" si="24"/>
        <v>0</v>
      </c>
      <c r="P444" s="9">
        <f t="shared" si="25"/>
        <v>13138.08782295586</v>
      </c>
      <c r="Q444" s="9" t="str">
        <f t="shared" si="26"/>
        <v/>
      </c>
      <c r="R444" s="9">
        <f t="shared" si="27"/>
        <v>56620.780294064396</v>
      </c>
    </row>
    <row r="445" spans="1:18" ht="15.5">
      <c r="A445" s="7" t="s">
        <v>24</v>
      </c>
      <c r="B445" s="7" t="s">
        <v>25</v>
      </c>
      <c r="C445" s="8">
        <v>2001</v>
      </c>
      <c r="D445" s="9">
        <v>6.7579929999999999</v>
      </c>
      <c r="E445" s="9">
        <v>2.2886910438537602</v>
      </c>
      <c r="F445" s="9"/>
      <c r="G445" s="9">
        <v>1.89981329441071</v>
      </c>
      <c r="H445" s="9">
        <v>30975.369140625</v>
      </c>
      <c r="I445" s="9">
        <v>134273.6875</v>
      </c>
      <c r="J445" s="9">
        <v>0.99891012907028198</v>
      </c>
      <c r="K445" s="9">
        <v>0.59143078327178999</v>
      </c>
      <c r="L445" s="9" t="e">
        <f>IF(OR(OIT!#REF!="",OIT!#REF!=""),"",OIT!#REF!-OIT!#REF!)</f>
        <v>#REF!</v>
      </c>
      <c r="M445" s="9" t="e">
        <f>IF(OR(OIT!#REF!="",OIT!#REF!=""),"",OIT!#REF!-OIT!#REF!)</f>
        <v>#REF!</v>
      </c>
      <c r="N445" s="9" t="e">
        <f>IF(OR(OIT!#REF!="",OIT!#REF!=""),"",OIT!#REF!-OIT!#REF!)</f>
        <v>#REF!</v>
      </c>
      <c r="O445" s="9">
        <f t="shared" si="24"/>
        <v>0</v>
      </c>
      <c r="P445" s="9">
        <f t="shared" si="25"/>
        <v>13534.0981142076</v>
      </c>
      <c r="Q445" s="9" t="str">
        <f t="shared" si="26"/>
        <v/>
      </c>
      <c r="R445" s="9">
        <f t="shared" si="27"/>
        <v>58668.332652670462</v>
      </c>
    </row>
    <row r="446" spans="1:18" ht="15.5">
      <c r="A446" s="7" t="s">
        <v>24</v>
      </c>
      <c r="B446" s="7" t="s">
        <v>25</v>
      </c>
      <c r="C446" s="8">
        <v>2002</v>
      </c>
      <c r="D446" s="9">
        <v>6.9388589999999999</v>
      </c>
      <c r="E446" s="9">
        <v>2.3510780334472701</v>
      </c>
      <c r="F446" s="9"/>
      <c r="G446" s="9">
        <v>1.91759788990021</v>
      </c>
      <c r="H446" s="9">
        <v>32138.291015625</v>
      </c>
      <c r="I446" s="9">
        <v>137459</v>
      </c>
      <c r="J446" s="9">
        <v>1.0108004808425901</v>
      </c>
      <c r="K446" s="9">
        <v>0.59811973571777299</v>
      </c>
      <c r="L446" s="9" t="e">
        <f>IF(OR(OIT!#REF!="",OIT!#REF!=""),"",OIT!#REF!-OIT!#REF!)</f>
        <v>#REF!</v>
      </c>
      <c r="M446" s="9" t="e">
        <f>IF(OR(OIT!#REF!="",OIT!#REF!=""),"",OIT!#REF!-OIT!#REF!)</f>
        <v>#REF!</v>
      </c>
      <c r="N446" s="9" t="e">
        <f>IF(OR(OIT!#REF!="",OIT!#REF!=""),"",OIT!#REF!-OIT!#REF!)</f>
        <v>#REF!</v>
      </c>
      <c r="O446" s="9">
        <f t="shared" si="24"/>
        <v>0</v>
      </c>
      <c r="P446" s="9">
        <f t="shared" si="25"/>
        <v>13669.597758310983</v>
      </c>
      <c r="Q446" s="9" t="str">
        <f t="shared" si="26"/>
        <v/>
      </c>
      <c r="R446" s="9">
        <f t="shared" si="27"/>
        <v>58466.370764585226</v>
      </c>
    </row>
    <row r="447" spans="1:18" ht="15.5">
      <c r="A447" s="7" t="s">
        <v>24</v>
      </c>
      <c r="B447" s="7" t="s">
        <v>25</v>
      </c>
      <c r="C447" s="8">
        <v>2003</v>
      </c>
      <c r="D447" s="9">
        <v>7.1192130000000002</v>
      </c>
      <c r="E447" s="9">
        <v>2.4261488914489702</v>
      </c>
      <c r="F447" s="9"/>
      <c r="G447" s="9">
        <v>1.9355491399764999</v>
      </c>
      <c r="H447" s="9">
        <v>33599.6328125</v>
      </c>
      <c r="I447" s="9">
        <v>141326.859375</v>
      </c>
      <c r="J447" s="9">
        <v>1.0246816873550399</v>
      </c>
      <c r="K447" s="9">
        <v>0.60549014806747403</v>
      </c>
      <c r="L447" s="9" t="e">
        <f>IF(OR(OIT!#REF!="",OIT!#REF!=""),"",OIT!#REF!-OIT!#REF!)</f>
        <v>#REF!</v>
      </c>
      <c r="M447" s="9" t="e">
        <f>IF(OR(OIT!#REF!="",OIT!#REF!=""),"",OIT!#REF!-OIT!#REF!)</f>
        <v>#REF!</v>
      </c>
      <c r="N447" s="9" t="e">
        <f>IF(OR(OIT!#REF!="",OIT!#REF!=""),"",OIT!#REF!-OIT!#REF!)</f>
        <v>#REF!</v>
      </c>
      <c r="O447" s="9">
        <f t="shared" si="24"/>
        <v>0</v>
      </c>
      <c r="P447" s="9">
        <f t="shared" si="25"/>
        <v>13848.957469561266</v>
      </c>
      <c r="Q447" s="9" t="str">
        <f t="shared" si="26"/>
        <v/>
      </c>
      <c r="R447" s="9">
        <f t="shared" si="27"/>
        <v>58251.51946490608</v>
      </c>
    </row>
    <row r="448" spans="1:18" ht="15.5">
      <c r="A448" s="7" t="s">
        <v>24</v>
      </c>
      <c r="B448" s="7" t="s">
        <v>25</v>
      </c>
      <c r="C448" s="8">
        <v>2004</v>
      </c>
      <c r="D448" s="9">
        <v>7.2989940000000004</v>
      </c>
      <c r="E448" s="9">
        <v>2.43895411491394</v>
      </c>
      <c r="F448" s="9"/>
      <c r="G448" s="9">
        <v>1.95366847515106</v>
      </c>
      <c r="H448" s="9">
        <v>35693.66015625</v>
      </c>
      <c r="I448" s="9">
        <v>147873.046875</v>
      </c>
      <c r="J448" s="9">
        <v>1.05569624900818</v>
      </c>
      <c r="K448" s="9">
        <v>0.597159624099731</v>
      </c>
      <c r="L448" s="9" t="e">
        <f>IF(OR(OIT!#REF!="",OIT!#REF!=""),"",OIT!#REF!-OIT!#REF!)</f>
        <v>#REF!</v>
      </c>
      <c r="M448" s="9" t="e">
        <f>IF(OR(OIT!#REF!="",OIT!#REF!=""),"",OIT!#REF!-OIT!#REF!)</f>
        <v>#REF!</v>
      </c>
      <c r="N448" s="9" t="e">
        <f>IF(OR(OIT!#REF!="",OIT!#REF!=""),"",OIT!#REF!-OIT!#REF!)</f>
        <v>#REF!</v>
      </c>
      <c r="O448" s="9">
        <f t="shared" si="24"/>
        <v>0</v>
      </c>
      <c r="P448" s="9">
        <f t="shared" si="25"/>
        <v>14634.822335519613</v>
      </c>
      <c r="Q448" s="9" t="str">
        <f t="shared" si="26"/>
        <v/>
      </c>
      <c r="R448" s="9">
        <f t="shared" si="27"/>
        <v>60629.696135229584</v>
      </c>
    </row>
    <row r="449" spans="1:18" ht="15.5">
      <c r="A449" s="7" t="s">
        <v>24</v>
      </c>
      <c r="B449" s="7" t="s">
        <v>25</v>
      </c>
      <c r="C449" s="8">
        <v>2005</v>
      </c>
      <c r="D449" s="9">
        <v>7.4783549999999996</v>
      </c>
      <c r="E449" s="9">
        <v>2.5361599922180198</v>
      </c>
      <c r="F449" s="9"/>
      <c r="G449" s="9">
        <v>1.97195732593536</v>
      </c>
      <c r="H449" s="9">
        <v>37853.45703125</v>
      </c>
      <c r="I449" s="9">
        <v>153728.078125</v>
      </c>
      <c r="J449" s="9">
        <v>1.0686014890670801</v>
      </c>
      <c r="K449" s="9">
        <v>0.590365409851074</v>
      </c>
      <c r="L449" s="9" t="e">
        <f>IF(OR(OIT!#REF!="",OIT!#REF!=""),"",OIT!#REF!-OIT!#REF!)</f>
        <v>#REF!</v>
      </c>
      <c r="M449" s="9" t="e">
        <f>IF(OR(OIT!#REF!="",OIT!#REF!=""),"",OIT!#REF!-OIT!#REF!)</f>
        <v>#REF!</v>
      </c>
      <c r="N449" s="9" t="e">
        <f>IF(OR(OIT!#REF!="",OIT!#REF!=""),"",OIT!#REF!-OIT!#REF!)</f>
        <v>#REF!</v>
      </c>
      <c r="O449" s="9">
        <f t="shared" si="24"/>
        <v>0</v>
      </c>
      <c r="P449" s="9">
        <f t="shared" si="25"/>
        <v>14925.50042087248</v>
      </c>
      <c r="Q449" s="9" t="str">
        <f t="shared" si="26"/>
        <v/>
      </c>
      <c r="R449" s="9">
        <f t="shared" si="27"/>
        <v>60614.503263477411</v>
      </c>
    </row>
    <row r="450" spans="1:18" ht="15.5">
      <c r="A450" s="7" t="s">
        <v>24</v>
      </c>
      <c r="B450" s="7" t="s">
        <v>25</v>
      </c>
      <c r="C450" s="8">
        <v>2006</v>
      </c>
      <c r="D450" s="9">
        <v>7.6568319999999996</v>
      </c>
      <c r="E450" s="9">
        <v>2.5869569778442401</v>
      </c>
      <c r="F450" s="9"/>
      <c r="G450" s="9">
        <v>1.99041736125946</v>
      </c>
      <c r="H450" s="9">
        <v>40339.29296875</v>
      </c>
      <c r="I450" s="9">
        <v>161254.046875</v>
      </c>
      <c r="J450" s="9">
        <v>1.09202885627747</v>
      </c>
      <c r="K450" s="9">
        <v>0.58456730842590299</v>
      </c>
      <c r="L450" s="9" t="e">
        <f>IF(OR(OIT!#REF!="",OIT!#REF!=""),"",OIT!#REF!-OIT!#REF!)</f>
        <v>#REF!</v>
      </c>
      <c r="M450" s="9" t="e">
        <f>IF(OR(OIT!#REF!="",OIT!#REF!=""),"",OIT!#REF!-OIT!#REF!)</f>
        <v>#REF!</v>
      </c>
      <c r="N450" s="9" t="e">
        <f>IF(OR(OIT!#REF!="",OIT!#REF!=""),"",OIT!#REF!-OIT!#REF!)</f>
        <v>#REF!</v>
      </c>
      <c r="O450" s="9">
        <f t="shared" ref="O450:O513" si="28">IFERROR(E450*F450,"")</f>
        <v>0</v>
      </c>
      <c r="P450" s="9">
        <f t="shared" ref="P450:P513" si="29">IFERROR(H450/E450,"")</f>
        <v>15593.337389926559</v>
      </c>
      <c r="Q450" s="9" t="str">
        <f t="shared" ref="Q450:Q513" si="30">IFERROR(H450/(E450*F450),"")</f>
        <v/>
      </c>
      <c r="R450" s="9">
        <f t="shared" ref="R450:R513" si="31">IFERROR(I450/E450,"")</f>
        <v>62333.486121356385</v>
      </c>
    </row>
    <row r="451" spans="1:18" ht="15.5">
      <c r="A451" s="7" t="s">
        <v>24</v>
      </c>
      <c r="B451" s="7" t="s">
        <v>25</v>
      </c>
      <c r="C451" s="8">
        <v>2007</v>
      </c>
      <c r="D451" s="9">
        <v>7.8347980000000002</v>
      </c>
      <c r="E451" s="9">
        <v>2.6452980041503902</v>
      </c>
      <c r="F451" s="9"/>
      <c r="G451" s="9">
        <v>2.0090503692627002</v>
      </c>
      <c r="H451" s="9">
        <v>42835.5859375</v>
      </c>
      <c r="I451" s="9">
        <v>172366.453125</v>
      </c>
      <c r="J451" s="9">
        <v>1.10100781917572</v>
      </c>
      <c r="K451" s="9">
        <v>0.59259516000747703</v>
      </c>
      <c r="L451" s="9" t="e">
        <f>IF(OR(OIT!#REF!="",OIT!#REF!=""),"",OIT!#REF!-OIT!#REF!)</f>
        <v>#REF!</v>
      </c>
      <c r="M451" s="9" t="e">
        <f>IF(OR(OIT!#REF!="",OIT!#REF!=""),"",OIT!#REF!-OIT!#REF!)</f>
        <v>#REF!</v>
      </c>
      <c r="N451" s="9" t="e">
        <f>IF(OR(OIT!#REF!="",OIT!#REF!=""),"",OIT!#REF!-OIT!#REF!)</f>
        <v>#REF!</v>
      </c>
      <c r="O451" s="9">
        <f t="shared" si="28"/>
        <v>0</v>
      </c>
      <c r="P451" s="9">
        <f t="shared" si="29"/>
        <v>16193.104092730686</v>
      </c>
      <c r="Q451" s="9" t="str">
        <f t="shared" si="30"/>
        <v/>
      </c>
      <c r="R451" s="9">
        <f t="shared" si="31"/>
        <v>65159.559661921798</v>
      </c>
    </row>
    <row r="452" spans="1:18" ht="15.5">
      <c r="A452" s="7" t="s">
        <v>24</v>
      </c>
      <c r="B452" s="7" t="s">
        <v>25</v>
      </c>
      <c r="C452" s="8">
        <v>2008</v>
      </c>
      <c r="D452" s="9">
        <v>8.0125869999999999</v>
      </c>
      <c r="E452" s="9">
        <v>2.8348069190978999</v>
      </c>
      <c r="F452" s="9"/>
      <c r="G452" s="9">
        <v>2.0278575420379599</v>
      </c>
      <c r="H452" s="9">
        <v>44648.328125</v>
      </c>
      <c r="I452" s="9">
        <v>184315.09375</v>
      </c>
      <c r="J452" s="9">
        <v>1.0774053335189799</v>
      </c>
      <c r="K452" s="9">
        <v>0.59364289045333896</v>
      </c>
      <c r="L452" s="9" t="e">
        <f>IF(OR(OIT!#REF!="",OIT!#REF!=""),"",OIT!#REF!-OIT!#REF!)</f>
        <v>#REF!</v>
      </c>
      <c r="M452" s="9" t="e">
        <f>IF(OR(OIT!#REF!="",OIT!#REF!=""),"",OIT!#REF!-OIT!#REF!)</f>
        <v>#REF!</v>
      </c>
      <c r="N452" s="9" t="e">
        <f>IF(OR(OIT!#REF!="",OIT!#REF!=""),"",OIT!#REF!-OIT!#REF!)</f>
        <v>#REF!</v>
      </c>
      <c r="O452" s="9">
        <f t="shared" si="28"/>
        <v>0</v>
      </c>
      <c r="P452" s="9">
        <f t="shared" si="29"/>
        <v>15750.042030801913</v>
      </c>
      <c r="Q452" s="9" t="str">
        <f t="shared" si="30"/>
        <v/>
      </c>
      <c r="R452" s="9">
        <f t="shared" si="31"/>
        <v>65018.57057998619</v>
      </c>
    </row>
    <row r="453" spans="1:18" ht="15.5">
      <c r="A453" s="7" t="s">
        <v>24</v>
      </c>
      <c r="B453" s="7" t="s">
        <v>25</v>
      </c>
      <c r="C453" s="8">
        <v>2009</v>
      </c>
      <c r="D453" s="9">
        <v>8.1898990000000005</v>
      </c>
      <c r="E453" s="9">
        <v>2.9747040271759002</v>
      </c>
      <c r="F453" s="9"/>
      <c r="G453" s="9">
        <v>2.0468409061431898</v>
      </c>
      <c r="H453" s="9">
        <v>43562.5390625</v>
      </c>
      <c r="I453" s="9">
        <v>187849.1875</v>
      </c>
      <c r="J453" s="9">
        <v>1.0265598297119101</v>
      </c>
      <c r="K453" s="9">
        <v>0.59912097454071001</v>
      </c>
      <c r="L453" s="9" t="e">
        <f>IF(OR(OIT!#REF!="",OIT!#REF!=""),"",OIT!#REF!-OIT!#REF!)</f>
        <v>#REF!</v>
      </c>
      <c r="M453" s="9" t="e">
        <f>IF(OR(OIT!#REF!="",OIT!#REF!=""),"",OIT!#REF!-OIT!#REF!)</f>
        <v>#REF!</v>
      </c>
      <c r="N453" s="9" t="e">
        <f>IF(OR(OIT!#REF!="",OIT!#REF!=""),"",OIT!#REF!-OIT!#REF!)</f>
        <v>#REF!</v>
      </c>
      <c r="O453" s="9">
        <f t="shared" si="28"/>
        <v>0</v>
      </c>
      <c r="P453" s="9">
        <f t="shared" si="29"/>
        <v>14644.327188361338</v>
      </c>
      <c r="Q453" s="9" t="str">
        <f t="shared" si="30"/>
        <v/>
      </c>
      <c r="R453" s="9">
        <f t="shared" si="31"/>
        <v>63148.866503649675</v>
      </c>
    </row>
    <row r="454" spans="1:18" ht="15.5">
      <c r="A454" s="7" t="s">
        <v>24</v>
      </c>
      <c r="B454" s="7" t="s">
        <v>25</v>
      </c>
      <c r="C454" s="8">
        <v>2010</v>
      </c>
      <c r="D454" s="9">
        <v>8.3658780000000004</v>
      </c>
      <c r="E454" s="9">
        <v>3.10665011405945</v>
      </c>
      <c r="F454" s="9"/>
      <c r="G454" s="9">
        <v>2.0660021305084202</v>
      </c>
      <c r="H454" s="9">
        <v>45187.9765625</v>
      </c>
      <c r="I454" s="9">
        <v>191782.71875</v>
      </c>
      <c r="J454" s="9">
        <v>1.0228897333145099</v>
      </c>
      <c r="K454" s="9">
        <v>0.60768455266952504</v>
      </c>
      <c r="L454" s="9" t="e">
        <f>IF(OR(OIT!#REF!="",OIT!#REF!=""),"",OIT!#REF!-OIT!#REF!)</f>
        <v>#REF!</v>
      </c>
      <c r="M454" s="9" t="e">
        <f>IF(OR(OIT!#REF!="",OIT!#REF!=""),"",OIT!#REF!-OIT!#REF!)</f>
        <v>#REF!</v>
      </c>
      <c r="N454" s="9" t="e">
        <f>IF(OR(OIT!#REF!="",OIT!#REF!=""),"",OIT!#REF!-OIT!#REF!)</f>
        <v>#REF!</v>
      </c>
      <c r="O454" s="9">
        <f t="shared" si="28"/>
        <v>0</v>
      </c>
      <c r="P454" s="9">
        <f t="shared" si="29"/>
        <v>14545.563518079289</v>
      </c>
      <c r="Q454" s="9" t="str">
        <f t="shared" si="30"/>
        <v/>
      </c>
      <c r="R454" s="9">
        <f t="shared" si="31"/>
        <v>61732.963709710493</v>
      </c>
    </row>
    <row r="455" spans="1:18" ht="15.5">
      <c r="A455" s="7" t="s">
        <v>24</v>
      </c>
      <c r="B455" s="7" t="s">
        <v>25</v>
      </c>
      <c r="C455" s="8">
        <v>2011</v>
      </c>
      <c r="D455" s="9">
        <v>8.5405829999999998</v>
      </c>
      <c r="E455" s="9">
        <v>3.0959939956664999</v>
      </c>
      <c r="F455" s="9"/>
      <c r="G455" s="9">
        <v>2.1043074131011998</v>
      </c>
      <c r="H455" s="9">
        <v>46921.1015625</v>
      </c>
      <c r="I455" s="9">
        <v>198305.0625</v>
      </c>
      <c r="J455" s="9">
        <v>1.0369465351104701</v>
      </c>
      <c r="K455" s="9">
        <v>0.61127048730850198</v>
      </c>
      <c r="L455" s="9" t="e">
        <f>IF(OR(OIT!#REF!="",OIT!#REF!=""),"",OIT!#REF!-OIT!#REF!)</f>
        <v>#REF!</v>
      </c>
      <c r="M455" s="9" t="e">
        <f>IF(OR(OIT!#REF!="",OIT!#REF!=""),"",OIT!#REF!-OIT!#REF!)</f>
        <v>#REF!</v>
      </c>
      <c r="N455" s="9" t="e">
        <f>IF(OR(OIT!#REF!="",OIT!#REF!=""),"",OIT!#REF!-OIT!#REF!)</f>
        <v>#REF!</v>
      </c>
      <c r="O455" s="9">
        <f t="shared" si="28"/>
        <v>0</v>
      </c>
      <c r="P455" s="9">
        <f t="shared" si="29"/>
        <v>15155.42395372085</v>
      </c>
      <c r="Q455" s="9" t="str">
        <f t="shared" si="30"/>
        <v/>
      </c>
      <c r="R455" s="9">
        <f t="shared" si="31"/>
        <v>64052.146993040034</v>
      </c>
    </row>
    <row r="456" spans="1:18" ht="15.5">
      <c r="A456" s="7" t="s">
        <v>24</v>
      </c>
      <c r="B456" s="7" t="s">
        <v>25</v>
      </c>
      <c r="C456" s="8">
        <v>2012</v>
      </c>
      <c r="D456" s="9">
        <v>8.7150759999999998</v>
      </c>
      <c r="E456" s="9">
        <v>3.1164109706878702</v>
      </c>
      <c r="F456" s="9"/>
      <c r="G456" s="9">
        <v>2.1433227062225302</v>
      </c>
      <c r="H456" s="9">
        <v>48858.3671875</v>
      </c>
      <c r="I456" s="9">
        <v>205362.234375</v>
      </c>
      <c r="J456" s="9">
        <v>1.0495862960815401</v>
      </c>
      <c r="K456" s="9">
        <v>0.59502047300338801</v>
      </c>
      <c r="L456" s="9" t="e">
        <f>IF(OR(OIT!#REF!="",OIT!#REF!=""),"",OIT!#REF!-OIT!#REF!)</f>
        <v>#REF!</v>
      </c>
      <c r="M456" s="9" t="e">
        <f>IF(OR(OIT!#REF!="",OIT!#REF!=""),"",OIT!#REF!-OIT!#REF!)</f>
        <v>#REF!</v>
      </c>
      <c r="N456" s="9" t="e">
        <f>IF(OR(OIT!#REF!="",OIT!#REF!=""),"",OIT!#REF!-OIT!#REF!)</f>
        <v>#REF!</v>
      </c>
      <c r="O456" s="9">
        <f t="shared" si="28"/>
        <v>0</v>
      </c>
      <c r="P456" s="9">
        <f t="shared" si="29"/>
        <v>15677.767677963131</v>
      </c>
      <c r="Q456" s="9" t="str">
        <f t="shared" si="30"/>
        <v/>
      </c>
      <c r="R456" s="9">
        <f t="shared" si="31"/>
        <v>65897.032293424185</v>
      </c>
    </row>
    <row r="457" spans="1:18" ht="15.5">
      <c r="A457" s="7" t="s">
        <v>24</v>
      </c>
      <c r="B457" s="7" t="s">
        <v>25</v>
      </c>
      <c r="C457" s="8">
        <v>2013</v>
      </c>
      <c r="D457" s="9">
        <v>8.8892779999999991</v>
      </c>
      <c r="E457" s="9">
        <v>3.3406710624694802</v>
      </c>
      <c r="F457" s="9"/>
      <c r="G457" s="9">
        <v>2.1830615997314502</v>
      </c>
      <c r="H457" s="9">
        <v>50222.24609375</v>
      </c>
      <c r="I457" s="9">
        <v>211943.359375</v>
      </c>
      <c r="J457" s="9">
        <v>1.01032173633575</v>
      </c>
      <c r="K457" s="9">
        <v>0.60156786441803001</v>
      </c>
      <c r="L457" s="9" t="e">
        <f>IF(OR(OIT!#REF!="",OIT!#REF!=""),"",OIT!#REF!-OIT!#REF!)</f>
        <v>#REF!</v>
      </c>
      <c r="M457" s="9" t="e">
        <f>IF(OR(OIT!#REF!="",OIT!#REF!=""),"",OIT!#REF!-OIT!#REF!)</f>
        <v>#REF!</v>
      </c>
      <c r="N457" s="9" t="e">
        <f>IF(OR(OIT!#REF!="",OIT!#REF!=""),"",OIT!#REF!-OIT!#REF!)</f>
        <v>#REF!</v>
      </c>
      <c r="O457" s="9">
        <f t="shared" si="28"/>
        <v>0</v>
      </c>
      <c r="P457" s="9">
        <f t="shared" si="29"/>
        <v>15033.580126450663</v>
      </c>
      <c r="Q457" s="9" t="str">
        <f t="shared" si="30"/>
        <v/>
      </c>
      <c r="R457" s="9">
        <f t="shared" si="31"/>
        <v>63443.34877984901</v>
      </c>
    </row>
    <row r="458" spans="1:18" ht="15.5">
      <c r="A458" s="7" t="s">
        <v>24</v>
      </c>
      <c r="B458" s="7" t="s">
        <v>25</v>
      </c>
      <c r="C458" s="8">
        <v>2014</v>
      </c>
      <c r="D458" s="9">
        <v>9.0631219999999999</v>
      </c>
      <c r="E458" s="9">
        <v>3.3140749931335498</v>
      </c>
      <c r="F458" s="9"/>
      <c r="G458" s="9">
        <v>2.2235374450683598</v>
      </c>
      <c r="H458" s="9">
        <v>51758.3125</v>
      </c>
      <c r="I458" s="9">
        <v>218554.890625</v>
      </c>
      <c r="J458" s="9">
        <v>1.02215588092804</v>
      </c>
      <c r="K458" s="9">
        <v>0.59647333621978804</v>
      </c>
      <c r="L458" s="9" t="e">
        <f>IF(OR(OIT!#REF!="",OIT!#REF!=""),"",OIT!#REF!-OIT!#REF!)</f>
        <v>#REF!</v>
      </c>
      <c r="M458" s="9" t="e">
        <f>IF(OR(OIT!#REF!="",OIT!#REF!=""),"",OIT!#REF!-OIT!#REF!)</f>
        <v>#REF!</v>
      </c>
      <c r="N458" s="9" t="e">
        <f>IF(OR(OIT!#REF!="",OIT!#REF!=""),"",OIT!#REF!-OIT!#REF!)</f>
        <v>#REF!</v>
      </c>
      <c r="O458" s="9">
        <f t="shared" si="28"/>
        <v>0</v>
      </c>
      <c r="P458" s="9">
        <f t="shared" si="29"/>
        <v>15617.725189453568</v>
      </c>
      <c r="Q458" s="9" t="str">
        <f t="shared" si="30"/>
        <v/>
      </c>
      <c r="R458" s="9">
        <f t="shared" si="31"/>
        <v>65947.478882591691</v>
      </c>
    </row>
    <row r="459" spans="1:18" ht="15.5">
      <c r="A459" s="7" t="s">
        <v>24</v>
      </c>
      <c r="B459" s="7" t="s">
        <v>25</v>
      </c>
      <c r="C459" s="8">
        <v>2015</v>
      </c>
      <c r="D459" s="9">
        <v>9.2373049999999992</v>
      </c>
      <c r="E459" s="9">
        <v>3.4762828350067099</v>
      </c>
      <c r="F459" s="9"/>
      <c r="G459" s="9">
        <v>2.2647633552551301</v>
      </c>
      <c r="H459" s="9">
        <v>53745.609375</v>
      </c>
      <c r="I459" s="9">
        <v>227368.109375</v>
      </c>
      <c r="J459" s="9">
        <v>1.0016781091690099</v>
      </c>
      <c r="K459" s="9">
        <v>0.57588911056518599</v>
      </c>
      <c r="L459" s="9" t="e">
        <f>IF(OR(OIT!#REF!="",OIT!#REF!=""),"",OIT!#REF!-OIT!#REF!)</f>
        <v>#REF!</v>
      </c>
      <c r="M459" s="9" t="e">
        <f>IF(OR(OIT!#REF!="",OIT!#REF!=""),"",OIT!#REF!-OIT!#REF!)</f>
        <v>#REF!</v>
      </c>
      <c r="N459" s="9" t="e">
        <f>IF(OR(OIT!#REF!="",OIT!#REF!=""),"",OIT!#REF!-OIT!#REF!)</f>
        <v>#REF!</v>
      </c>
      <c r="O459" s="9">
        <f t="shared" si="28"/>
        <v>0</v>
      </c>
      <c r="P459" s="9">
        <f t="shared" si="29"/>
        <v>15460.654936869158</v>
      </c>
      <c r="Q459" s="9" t="str">
        <f t="shared" si="30"/>
        <v/>
      </c>
      <c r="R459" s="9">
        <f t="shared" si="31"/>
        <v>65405.526582983322</v>
      </c>
    </row>
    <row r="460" spans="1:18" ht="15.5">
      <c r="A460" s="7" t="s">
        <v>24</v>
      </c>
      <c r="B460" s="7" t="s">
        <v>25</v>
      </c>
      <c r="C460" s="8">
        <v>2016</v>
      </c>
      <c r="D460" s="9">
        <v>9.4123800000000006</v>
      </c>
      <c r="E460" s="9">
        <v>3.5138790607452401</v>
      </c>
      <c r="F460" s="9"/>
      <c r="G460" s="9">
        <v>2.3067541122436501</v>
      </c>
      <c r="H460" s="9">
        <v>55838.08984375</v>
      </c>
      <c r="I460" s="9">
        <v>234614.015625</v>
      </c>
      <c r="J460" s="9">
        <v>1.0133764743804901</v>
      </c>
      <c r="K460" s="9">
        <v>0.57342112064361594</v>
      </c>
      <c r="L460" s="9" t="e">
        <f>IF(OR(OIT!#REF!="",OIT!#REF!=""),"",OIT!#REF!-OIT!#REF!)</f>
        <v>#REF!</v>
      </c>
      <c r="M460" s="9" t="e">
        <f>IF(OR(OIT!#REF!="",OIT!#REF!=""),"",OIT!#REF!-OIT!#REF!)</f>
        <v>#REF!</v>
      </c>
      <c r="N460" s="9" t="e">
        <f>IF(OR(OIT!#REF!="",OIT!#REF!=""),"",OIT!#REF!-OIT!#REF!)</f>
        <v>#REF!</v>
      </c>
      <c r="O460" s="9">
        <f t="shared" si="28"/>
        <v>0</v>
      </c>
      <c r="P460" s="9">
        <f t="shared" si="29"/>
        <v>15890.726140104432</v>
      </c>
      <c r="Q460" s="9" t="str">
        <f t="shared" si="30"/>
        <v/>
      </c>
      <c r="R460" s="9">
        <f t="shared" si="31"/>
        <v>66767.811745701329</v>
      </c>
    </row>
    <row r="461" spans="1:18" ht="15.5">
      <c r="A461" s="7" t="s">
        <v>24</v>
      </c>
      <c r="B461" s="7" t="s">
        <v>25</v>
      </c>
      <c r="C461" s="8">
        <v>2017</v>
      </c>
      <c r="D461" s="9">
        <v>9.5881369999999997</v>
      </c>
      <c r="E461" s="9">
        <v>3.6672849655151398</v>
      </c>
      <c r="F461" s="9"/>
      <c r="G461" s="9">
        <v>2.3495230674743701</v>
      </c>
      <c r="H461" s="9">
        <v>58542.10546875</v>
      </c>
      <c r="I461" s="9">
        <v>243930.703125</v>
      </c>
      <c r="J461" s="9">
        <v>1.0122224092483501</v>
      </c>
      <c r="K461" s="9">
        <v>0.56144815683364901</v>
      </c>
      <c r="L461" s="9" t="e">
        <f>IF(OR(OIT!#REF!="",OIT!#REF!=""),"",OIT!#REF!-OIT!#REF!)</f>
        <v>#REF!</v>
      </c>
      <c r="M461" s="9" t="e">
        <f>IF(OR(OIT!#REF!="",OIT!#REF!=""),"",OIT!#REF!-OIT!#REF!)</f>
        <v>#REF!</v>
      </c>
      <c r="N461" s="9" t="e">
        <f>IF(OR(OIT!#REF!="",OIT!#REF!=""),"",OIT!#REF!-OIT!#REF!)</f>
        <v>#REF!</v>
      </c>
      <c r="O461" s="9">
        <f t="shared" si="28"/>
        <v>0</v>
      </c>
      <c r="P461" s="9">
        <f t="shared" si="29"/>
        <v>15963.336915250231</v>
      </c>
      <c r="Q461" s="9" t="str">
        <f t="shared" si="30"/>
        <v/>
      </c>
      <c r="R461" s="9">
        <f t="shared" si="31"/>
        <v>66515.339118386531</v>
      </c>
    </row>
    <row r="462" spans="1:18" ht="15.5">
      <c r="A462" s="7" t="s">
        <v>24</v>
      </c>
      <c r="B462" s="7" t="s">
        <v>25</v>
      </c>
      <c r="C462" s="8">
        <v>2018</v>
      </c>
      <c r="D462" s="9">
        <v>9.7652099999999997</v>
      </c>
      <c r="E462" s="9">
        <v>3.91877388954163</v>
      </c>
      <c r="F462" s="9"/>
      <c r="G462" s="9">
        <v>2.3930850028991699</v>
      </c>
      <c r="H462" s="9">
        <v>60793.1953125</v>
      </c>
      <c r="I462" s="9">
        <v>254666.25</v>
      </c>
      <c r="J462" s="9">
        <v>0.98125708103179898</v>
      </c>
      <c r="K462" s="9">
        <v>0.56036692857742298</v>
      </c>
      <c r="L462" s="9" t="e">
        <f>IF(OR(OIT!#REF!="",OIT!#REF!=""),"",OIT!#REF!-OIT!#REF!)</f>
        <v>#REF!</v>
      </c>
      <c r="M462" s="9" t="e">
        <f>IF(OR(OIT!#REF!="",OIT!#REF!=""),"",OIT!#REF!-OIT!#REF!)</f>
        <v>#REF!</v>
      </c>
      <c r="N462" s="9" t="e">
        <f>IF(OR(OIT!#REF!="",OIT!#REF!=""),"",OIT!#REF!-OIT!#REF!)</f>
        <v>#REF!</v>
      </c>
      <c r="O462" s="9">
        <f t="shared" si="28"/>
        <v>0</v>
      </c>
      <c r="P462" s="9">
        <f t="shared" si="29"/>
        <v>15513.320499236776</v>
      </c>
      <c r="Q462" s="9" t="str">
        <f t="shared" si="30"/>
        <v/>
      </c>
      <c r="R462" s="9">
        <f t="shared" si="31"/>
        <v>64986.20670094026</v>
      </c>
    </row>
    <row r="463" spans="1:18" ht="15.5">
      <c r="A463" s="7" t="s">
        <v>24</v>
      </c>
      <c r="B463" s="7" t="s">
        <v>25</v>
      </c>
      <c r="C463" s="8">
        <v>2019</v>
      </c>
      <c r="D463" s="9">
        <v>9.9436330000000002</v>
      </c>
      <c r="E463" s="9">
        <v>3.8334040641784699</v>
      </c>
      <c r="F463" s="9"/>
      <c r="G463" s="9">
        <v>2.4374547004699698</v>
      </c>
      <c r="H463" s="9">
        <v>62349.25</v>
      </c>
      <c r="I463" s="9">
        <v>264401.34375</v>
      </c>
      <c r="J463" s="9">
        <v>0.99498909711837802</v>
      </c>
      <c r="K463" s="9">
        <v>0.55825507640838601</v>
      </c>
      <c r="L463" s="9" t="e">
        <f>IF(OR(OIT!#REF!="",OIT!#REF!=""),"",OIT!#REF!-OIT!#REF!)</f>
        <v>#REF!</v>
      </c>
      <c r="M463" s="9" t="e">
        <f>IF(OR(OIT!#REF!="",OIT!#REF!=""),"",OIT!#REF!-OIT!#REF!)</f>
        <v>#REF!</v>
      </c>
      <c r="N463" s="9" t="e">
        <f>IF(OR(OIT!#REF!="",OIT!#REF!=""),"",OIT!#REF!-OIT!#REF!)</f>
        <v>#REF!</v>
      </c>
      <c r="O463" s="9">
        <f t="shared" si="28"/>
        <v>0</v>
      </c>
      <c r="P463" s="9">
        <f t="shared" si="29"/>
        <v>16264.721630215614</v>
      </c>
      <c r="Q463" s="9" t="str">
        <f t="shared" si="30"/>
        <v/>
      </c>
      <c r="R463" s="9">
        <f t="shared" si="31"/>
        <v>68972.990930102591</v>
      </c>
    </row>
    <row r="464" spans="1:18" ht="15.5">
      <c r="A464" s="7" t="s">
        <v>24</v>
      </c>
      <c r="B464" s="7" t="s">
        <v>25</v>
      </c>
      <c r="C464" s="8">
        <v>2020</v>
      </c>
      <c r="D464" s="9">
        <v>10.11964</v>
      </c>
      <c r="E464" s="9">
        <v>3.65887498855591</v>
      </c>
      <c r="F464" s="9"/>
      <c r="G464" s="9">
        <v>2.4826469421386701</v>
      </c>
      <c r="H464" s="9">
        <v>56759.58984375</v>
      </c>
      <c r="I464" s="9">
        <v>268000.34375</v>
      </c>
      <c r="J464" s="9">
        <v>0.922918200492859</v>
      </c>
      <c r="K464" s="9">
        <v>0.56536638736724898</v>
      </c>
      <c r="L464" s="9" t="e">
        <f>IF(OR(OIT!#REF!="",OIT!#REF!=""),"",OIT!#REF!-OIT!#REF!)</f>
        <v>#REF!</v>
      </c>
      <c r="M464" s="9" t="e">
        <f>IF(OR(OIT!#REF!="",OIT!#REF!=""),"",OIT!#REF!-OIT!#REF!)</f>
        <v>#REF!</v>
      </c>
      <c r="N464" s="9" t="e">
        <f>IF(OR(OIT!#REF!="",OIT!#REF!=""),"",OIT!#REF!-OIT!#REF!)</f>
        <v>#REF!</v>
      </c>
      <c r="O464" s="9">
        <f t="shared" si="28"/>
        <v>0</v>
      </c>
      <c r="P464" s="9">
        <f t="shared" si="29"/>
        <v>15512.853000247476</v>
      </c>
      <c r="Q464" s="9" t="str">
        <f t="shared" si="30"/>
        <v/>
      </c>
      <c r="R464" s="9">
        <f t="shared" si="31"/>
        <v>73246.65220545695</v>
      </c>
    </row>
    <row r="465" spans="1:18" ht="15.5">
      <c r="A465" s="7" t="s">
        <v>24</v>
      </c>
      <c r="B465" s="7" t="s">
        <v>25</v>
      </c>
      <c r="C465" s="8">
        <v>2021</v>
      </c>
      <c r="D465" s="9">
        <v>10.289877000000001</v>
      </c>
      <c r="E465" s="9">
        <v>3.7195250988006601</v>
      </c>
      <c r="F465" s="9"/>
      <c r="G465" s="9">
        <v>2.5161046981811501</v>
      </c>
      <c r="H465" s="9">
        <v>63891.59375</v>
      </c>
      <c r="I465" s="9">
        <v>278521.75</v>
      </c>
      <c r="J465" s="9">
        <v>1</v>
      </c>
      <c r="K465" s="9">
        <v>0.55133807659149203</v>
      </c>
      <c r="L465" s="9" t="e">
        <f>IF(OR(OIT!#REF!="",OIT!#REF!=""),"",OIT!#REF!-OIT!#REF!)</f>
        <v>#REF!</v>
      </c>
      <c r="M465" s="9" t="e">
        <f>IF(OR(OIT!#REF!="",OIT!#REF!=""),"",OIT!#REF!-OIT!#REF!)</f>
        <v>#REF!</v>
      </c>
      <c r="N465" s="9" t="e">
        <f>IF(OR(OIT!#REF!="",OIT!#REF!=""),"",OIT!#REF!-OIT!#REF!)</f>
        <v>#REF!</v>
      </c>
      <c r="O465" s="9">
        <f t="shared" si="28"/>
        <v>0</v>
      </c>
      <c r="P465" s="9">
        <f t="shared" si="29"/>
        <v>17177.3524987374</v>
      </c>
      <c r="Q465" s="9" t="str">
        <f t="shared" si="30"/>
        <v/>
      </c>
      <c r="R465" s="9">
        <f t="shared" si="31"/>
        <v>74880.997600959265</v>
      </c>
    </row>
    <row r="466" spans="1:18" ht="15.5">
      <c r="A466" s="7" t="s">
        <v>24</v>
      </c>
      <c r="B466" s="7" t="s">
        <v>25</v>
      </c>
      <c r="C466" s="8">
        <v>2022</v>
      </c>
      <c r="D466" s="9">
        <v>10.463872</v>
      </c>
      <c r="E466" s="9">
        <v>3.6350760459899898</v>
      </c>
      <c r="F466" s="9"/>
      <c r="G466" s="9">
        <v>2.5506012439727801</v>
      </c>
      <c r="H466" s="9">
        <v>66538.9765625</v>
      </c>
      <c r="I466" s="9">
        <v>289240</v>
      </c>
      <c r="J466" s="9">
        <v>1.0262365341186499</v>
      </c>
      <c r="K466" s="9">
        <v>0.53444665670394897</v>
      </c>
      <c r="L466" s="9" t="e">
        <f>IF(OR(OIT!#REF!="",OIT!#REF!=""),"",OIT!#REF!-OIT!#REF!)</f>
        <v>#REF!</v>
      </c>
      <c r="M466" s="9" t="e">
        <f>IF(OR(OIT!#REF!="",OIT!#REF!=""),"",OIT!#REF!-OIT!#REF!)</f>
        <v>#REF!</v>
      </c>
      <c r="N466" s="9" t="e">
        <f>IF(OR(OIT!#REF!="",OIT!#REF!=""),"",OIT!#REF!-OIT!#REF!)</f>
        <v>#REF!</v>
      </c>
      <c r="O466" s="9">
        <f t="shared" si="28"/>
        <v>0</v>
      </c>
      <c r="P466" s="9">
        <f t="shared" si="29"/>
        <v>18304.700017459618</v>
      </c>
      <c r="Q466" s="9" t="str">
        <f t="shared" si="30"/>
        <v/>
      </c>
      <c r="R466" s="9">
        <f t="shared" si="31"/>
        <v>79569.174438337592</v>
      </c>
    </row>
    <row r="467" spans="1:18" ht="15.5">
      <c r="A467" s="7" t="s">
        <v>24</v>
      </c>
      <c r="B467" s="7" t="s">
        <v>25</v>
      </c>
      <c r="C467" s="8">
        <v>2023</v>
      </c>
      <c r="D467" s="9">
        <v>10.644850999999999</v>
      </c>
      <c r="E467" s="9">
        <v>3.6905143260955802</v>
      </c>
      <c r="F467" s="9"/>
      <c r="G467" s="9">
        <v>2.5775890350341801</v>
      </c>
      <c r="H467" s="9">
        <v>68922.8046875</v>
      </c>
      <c r="I467" s="9">
        <v>302499.5</v>
      </c>
      <c r="J467" s="9">
        <v>1.02726686000824</v>
      </c>
      <c r="K467" s="9">
        <v>0.54743081331253096</v>
      </c>
      <c r="L467" s="9" t="e">
        <f>IF(OR(OIT!#REF!="",OIT!#REF!=""),"",OIT!#REF!-OIT!#REF!)</f>
        <v>#REF!</v>
      </c>
      <c r="M467" s="9" t="e">
        <f>IF(OR(OIT!#REF!="",OIT!#REF!=""),"",OIT!#REF!-OIT!#REF!)</f>
        <v>#REF!</v>
      </c>
      <c r="N467" s="9" t="e">
        <f>IF(OR(OIT!#REF!="",OIT!#REF!=""),"",OIT!#REF!-OIT!#REF!)</f>
        <v>#REF!</v>
      </c>
      <c r="O467" s="9">
        <f t="shared" si="28"/>
        <v>0</v>
      </c>
      <c r="P467" s="9">
        <f t="shared" si="29"/>
        <v>18675.663768637267</v>
      </c>
      <c r="Q467" s="9" t="str">
        <f t="shared" si="30"/>
        <v/>
      </c>
      <c r="R467" s="9">
        <f t="shared" si="31"/>
        <v>81966.759446245705</v>
      </c>
    </row>
    <row r="468" spans="1:18" ht="15.5">
      <c r="A468" s="7" t="s">
        <v>24</v>
      </c>
      <c r="B468" s="7" t="s">
        <v>25</v>
      </c>
      <c r="C468" s="8">
        <v>2024</v>
      </c>
      <c r="D468" s="9"/>
      <c r="E468" s="9"/>
      <c r="F468" s="9"/>
      <c r="G468" s="9"/>
      <c r="H468" s="9"/>
      <c r="I468" s="9"/>
      <c r="J468" s="9"/>
      <c r="K468" s="9"/>
      <c r="L468" s="9" t="e">
        <f>IF(OR(OIT!#REF!="",OIT!#REF!=""),"",OIT!#REF!-OIT!#REF!)</f>
        <v>#REF!</v>
      </c>
      <c r="M468" s="9" t="e">
        <f>IF(OR(OIT!#REF!="",OIT!#REF!=""),"",OIT!#REF!-OIT!#REF!)</f>
        <v>#REF!</v>
      </c>
      <c r="N468" s="9" t="e">
        <f>IF(OR(OIT!#REF!="",OIT!#REF!=""),"",OIT!#REF!-OIT!#REF!)</f>
        <v>#REF!</v>
      </c>
      <c r="O468" s="9">
        <f t="shared" si="28"/>
        <v>0</v>
      </c>
      <c r="P468" s="9" t="str">
        <f t="shared" si="29"/>
        <v/>
      </c>
      <c r="Q468" s="9" t="str">
        <f t="shared" si="30"/>
        <v/>
      </c>
      <c r="R468" s="9" t="str">
        <f t="shared" si="31"/>
        <v/>
      </c>
    </row>
    <row r="469" spans="1:18" ht="15.5">
      <c r="A469" s="7" t="s">
        <v>24</v>
      </c>
      <c r="B469" s="7" t="s">
        <v>25</v>
      </c>
      <c r="C469" s="8">
        <v>2025</v>
      </c>
      <c r="D469" s="9"/>
      <c r="E469" s="9"/>
      <c r="F469" s="9"/>
      <c r="G469" s="9"/>
      <c r="H469" s="9"/>
      <c r="I469" s="9"/>
      <c r="J469" s="9"/>
      <c r="K469" s="9"/>
      <c r="L469" s="9" t="e">
        <f>IF(OR(OIT!#REF!="",OIT!#REF!=""),"",OIT!#REF!-OIT!#REF!)</f>
        <v>#REF!</v>
      </c>
      <c r="M469" s="9" t="e">
        <f>IF(OR(OIT!#REF!="",OIT!#REF!=""),"",OIT!#REF!-OIT!#REF!)</f>
        <v>#REF!</v>
      </c>
      <c r="N469" s="9" t="e">
        <f>IF(OR(OIT!#REF!="",OIT!#REF!=""),"",OIT!#REF!-OIT!#REF!)</f>
        <v>#REF!</v>
      </c>
      <c r="O469" s="9">
        <f t="shared" si="28"/>
        <v>0</v>
      </c>
      <c r="P469" s="9" t="str">
        <f t="shared" si="29"/>
        <v/>
      </c>
      <c r="Q469" s="9" t="str">
        <f t="shared" si="30"/>
        <v/>
      </c>
      <c r="R469" s="9" t="str">
        <f t="shared" si="31"/>
        <v/>
      </c>
    </row>
    <row r="470" spans="1:18" ht="15.5">
      <c r="A470" s="7" t="s">
        <v>26</v>
      </c>
      <c r="B470" s="7" t="s">
        <v>27</v>
      </c>
      <c r="C470" s="8">
        <v>1990</v>
      </c>
      <c r="D470" s="9">
        <v>82.820170000000005</v>
      </c>
      <c r="E470" s="9">
        <v>28.222749710083001</v>
      </c>
      <c r="F470" s="9">
        <v>1803.14</v>
      </c>
      <c r="G470" s="9">
        <v>2.1808638572692902</v>
      </c>
      <c r="H470" s="9">
        <v>1335904.375</v>
      </c>
      <c r="I470" s="9">
        <v>4776021</v>
      </c>
      <c r="J470" s="9">
        <v>1.27513456344605</v>
      </c>
      <c r="K470" s="9">
        <v>0.395217776298523</v>
      </c>
      <c r="L470" s="9" t="e">
        <f>IF(OR(OIT!#REF!="",OIT!#REF!=""),"",OIT!#REF!-OIT!#REF!)</f>
        <v>#REF!</v>
      </c>
      <c r="M470" s="9" t="e">
        <f>IF(OR(OIT!#REF!="",OIT!#REF!=""),"",OIT!#REF!-OIT!#REF!)</f>
        <v>#REF!</v>
      </c>
      <c r="N470" s="9" t="e">
        <f>IF(OR(OIT!#REF!="",OIT!#REF!=""),"",OIT!#REF!-OIT!#REF!)</f>
        <v>#REF!</v>
      </c>
      <c r="O470" s="9">
        <f t="shared" si="28"/>
        <v>50889.568912239061</v>
      </c>
      <c r="P470" s="9">
        <f t="shared" si="29"/>
        <v>47334.309687150293</v>
      </c>
      <c r="Q470" s="9">
        <f t="shared" si="30"/>
        <v>26.251045225079746</v>
      </c>
      <c r="R470" s="9">
        <f t="shared" si="31"/>
        <v>169225.92763148429</v>
      </c>
    </row>
    <row r="471" spans="1:18" ht="15.5">
      <c r="A471" s="7" t="s">
        <v>26</v>
      </c>
      <c r="B471" s="7" t="s">
        <v>27</v>
      </c>
      <c r="C471" s="8">
        <v>1991</v>
      </c>
      <c r="D471" s="9">
        <v>84.430571999999998</v>
      </c>
      <c r="E471" s="9">
        <v>29.140775680541999</v>
      </c>
      <c r="F471" s="9">
        <v>1783.68</v>
      </c>
      <c r="G471" s="9">
        <v>2.2034668922424299</v>
      </c>
      <c r="H471" s="9">
        <v>1392309.625</v>
      </c>
      <c r="I471" s="9">
        <v>4913728</v>
      </c>
      <c r="J471" s="9">
        <v>1.2739200592041</v>
      </c>
      <c r="K471" s="9">
        <v>0.395217776298523</v>
      </c>
      <c r="L471" s="9" t="e">
        <f>IF(OR(OIT!#REF!="",OIT!#REF!=""),"",OIT!#REF!-OIT!#REF!)</f>
        <v>#REF!</v>
      </c>
      <c r="M471" s="9" t="e">
        <f>IF(OR(OIT!#REF!="",OIT!#REF!=""),"",OIT!#REF!-OIT!#REF!)</f>
        <v>#REF!</v>
      </c>
      <c r="N471" s="9" t="e">
        <f>IF(OR(OIT!#REF!="",OIT!#REF!=""),"",OIT!#REF!-OIT!#REF!)</f>
        <v>#REF!</v>
      </c>
      <c r="O471" s="9">
        <f t="shared" si="28"/>
        <v>51977.818765869153</v>
      </c>
      <c r="P471" s="9">
        <f t="shared" si="29"/>
        <v>47778.74275768434</v>
      </c>
      <c r="Q471" s="9">
        <f t="shared" si="30"/>
        <v>26.786611251841329</v>
      </c>
      <c r="R471" s="9">
        <f t="shared" si="31"/>
        <v>168620.3570511342</v>
      </c>
    </row>
    <row r="472" spans="1:18" ht="15.5">
      <c r="A472" s="7" t="s">
        <v>26</v>
      </c>
      <c r="B472" s="7" t="s">
        <v>27</v>
      </c>
      <c r="C472" s="8">
        <v>1992</v>
      </c>
      <c r="D472" s="9">
        <v>86.044809000000001</v>
      </c>
      <c r="E472" s="9">
        <v>30.072704315185501</v>
      </c>
      <c r="F472" s="9">
        <v>1784.13</v>
      </c>
      <c r="G472" s="9">
        <v>2.2263040542602499</v>
      </c>
      <c r="H472" s="9">
        <v>1442831.75</v>
      </c>
      <c r="I472" s="9">
        <v>5070182</v>
      </c>
      <c r="J472" s="9">
        <v>1.2563089132309</v>
      </c>
      <c r="K472" s="9">
        <v>0.395217776298523</v>
      </c>
      <c r="L472" s="9" t="e">
        <f>IF(OR(OIT!#REF!="",OIT!#REF!=""),"",OIT!#REF!-OIT!#REF!)</f>
        <v>#REF!</v>
      </c>
      <c r="M472" s="9" t="e">
        <f>IF(OR(OIT!#REF!="",OIT!#REF!=""),"",OIT!#REF!-OIT!#REF!)</f>
        <v>#REF!</v>
      </c>
      <c r="N472" s="9" t="e">
        <f>IF(OR(OIT!#REF!="",OIT!#REF!=""),"",OIT!#REF!-OIT!#REF!)</f>
        <v>#REF!</v>
      </c>
      <c r="O472" s="9">
        <f t="shared" si="28"/>
        <v>53653.613949851911</v>
      </c>
      <c r="P472" s="9">
        <f t="shared" si="29"/>
        <v>47978.117793398058</v>
      </c>
      <c r="Q472" s="9">
        <f t="shared" si="30"/>
        <v>26.891604195545199</v>
      </c>
      <c r="R472" s="9">
        <f t="shared" si="31"/>
        <v>168597.47453572915</v>
      </c>
    </row>
    <row r="473" spans="1:18" ht="15.5">
      <c r="A473" s="7" t="s">
        <v>26</v>
      </c>
      <c r="B473" s="7" t="s">
        <v>27</v>
      </c>
      <c r="C473" s="8">
        <v>1993</v>
      </c>
      <c r="D473" s="9">
        <v>87.653807</v>
      </c>
      <c r="E473" s="9">
        <v>30.835588455200199</v>
      </c>
      <c r="F473" s="9">
        <v>1750.55</v>
      </c>
      <c r="G473" s="9">
        <v>2.24937796592712</v>
      </c>
      <c r="H473" s="9">
        <v>1490523</v>
      </c>
      <c r="I473" s="9">
        <v>5253452</v>
      </c>
      <c r="J473" s="9">
        <v>1.25289046764374</v>
      </c>
      <c r="K473" s="9">
        <v>0.395217776298523</v>
      </c>
      <c r="L473" s="9" t="e">
        <f>IF(OR(OIT!#REF!="",OIT!#REF!=""),"",OIT!#REF!-OIT!#REF!)</f>
        <v>#REF!</v>
      </c>
      <c r="M473" s="9" t="e">
        <f>IF(OR(OIT!#REF!="",OIT!#REF!=""),"",OIT!#REF!-OIT!#REF!)</f>
        <v>#REF!</v>
      </c>
      <c r="N473" s="9" t="e">
        <f>IF(OR(OIT!#REF!="",OIT!#REF!=""),"",OIT!#REF!-OIT!#REF!)</f>
        <v>#REF!</v>
      </c>
      <c r="O473" s="9">
        <f t="shared" si="28"/>
        <v>53979.239370250703</v>
      </c>
      <c r="P473" s="9">
        <f t="shared" si="29"/>
        <v>48337.751107475109</v>
      </c>
      <c r="Q473" s="9">
        <f t="shared" si="30"/>
        <v>27.612893723387</v>
      </c>
      <c r="R473" s="9">
        <f t="shared" si="31"/>
        <v>170369.76633776689</v>
      </c>
    </row>
    <row r="474" spans="1:18" ht="15.5">
      <c r="A474" s="7" t="s">
        <v>26</v>
      </c>
      <c r="B474" s="7" t="s">
        <v>27</v>
      </c>
      <c r="C474" s="8">
        <v>1994</v>
      </c>
      <c r="D474" s="9">
        <v>89.259204999999994</v>
      </c>
      <c r="E474" s="9">
        <v>31.702896118164102</v>
      </c>
      <c r="F474" s="9">
        <v>1714.17</v>
      </c>
      <c r="G474" s="9">
        <v>2.2726910114288299</v>
      </c>
      <c r="H474" s="9">
        <v>1556018.625</v>
      </c>
      <c r="I474" s="9">
        <v>5472600.5</v>
      </c>
      <c r="J474" s="9">
        <v>1.26366746425629</v>
      </c>
      <c r="K474" s="9">
        <v>0.400211781263351</v>
      </c>
      <c r="L474" s="9" t="e">
        <f>IF(OR(OIT!#REF!="",OIT!#REF!=""),"",OIT!#REF!-OIT!#REF!)</f>
        <v>#REF!</v>
      </c>
      <c r="M474" s="9" t="e">
        <f>IF(OR(OIT!#REF!="",OIT!#REF!=""),"",OIT!#REF!-OIT!#REF!)</f>
        <v>#REF!</v>
      </c>
      <c r="N474" s="9" t="e">
        <f>IF(OR(OIT!#REF!="",OIT!#REF!=""),"",OIT!#REF!-OIT!#REF!)</f>
        <v>#REF!</v>
      </c>
      <c r="O474" s="9">
        <f t="shared" si="28"/>
        <v>54344.153438873363</v>
      </c>
      <c r="P474" s="9">
        <f t="shared" si="29"/>
        <v>49081.27696600194</v>
      </c>
      <c r="Q474" s="9">
        <f t="shared" si="30"/>
        <v>28.632677602572635</v>
      </c>
      <c r="R474" s="9">
        <f t="shared" si="31"/>
        <v>172621.46901665826</v>
      </c>
    </row>
    <row r="475" spans="1:18" ht="15.5">
      <c r="A475" s="7" t="s">
        <v>26</v>
      </c>
      <c r="B475" s="7" t="s">
        <v>27</v>
      </c>
      <c r="C475" s="8">
        <v>1995</v>
      </c>
      <c r="D475" s="9">
        <v>90.862454999999997</v>
      </c>
      <c r="E475" s="9">
        <v>32.0049438476563</v>
      </c>
      <c r="F475" s="9">
        <v>1648.89</v>
      </c>
      <c r="G475" s="9">
        <v>2.2962458133697501</v>
      </c>
      <c r="H475" s="9">
        <v>1464053</v>
      </c>
      <c r="I475" s="9">
        <v>5543877.5</v>
      </c>
      <c r="J475" s="9">
        <v>1.1894189119339</v>
      </c>
      <c r="K475" s="9">
        <v>0.34789955615997298</v>
      </c>
      <c r="L475" s="9" t="e">
        <f>IF(OR(OIT!#REF!="",OIT!#REF!=""),"",OIT!#REF!-OIT!#REF!)</f>
        <v>#REF!</v>
      </c>
      <c r="M475" s="9" t="e">
        <f>IF(OR(OIT!#REF!="",OIT!#REF!=""),"",OIT!#REF!-OIT!#REF!)</f>
        <v>#REF!</v>
      </c>
      <c r="N475" s="9" t="e">
        <f>IF(OR(OIT!#REF!="",OIT!#REF!=""),"",OIT!#REF!-OIT!#REF!)</f>
        <v>#REF!</v>
      </c>
      <c r="O475" s="9">
        <f t="shared" si="28"/>
        <v>52772.631860961999</v>
      </c>
      <c r="P475" s="9">
        <f t="shared" si="29"/>
        <v>45744.588928788624</v>
      </c>
      <c r="Q475" s="9">
        <f t="shared" si="30"/>
        <v>27.742656531841799</v>
      </c>
      <c r="R475" s="9">
        <f t="shared" si="31"/>
        <v>173219.41030076123</v>
      </c>
    </row>
    <row r="476" spans="1:18" ht="15.5">
      <c r="A476" s="7" t="s">
        <v>26</v>
      </c>
      <c r="B476" s="7" t="s">
        <v>27</v>
      </c>
      <c r="C476" s="8">
        <v>1996</v>
      </c>
      <c r="D476" s="9">
        <v>92.452702000000002</v>
      </c>
      <c r="E476" s="9">
        <v>33.091346740722699</v>
      </c>
      <c r="F476" s="9">
        <v>1655.48</v>
      </c>
      <c r="G476" s="9">
        <v>2.3200445175170898</v>
      </c>
      <c r="H476" s="9">
        <v>1555092.375</v>
      </c>
      <c r="I476" s="9">
        <v>5671429.5</v>
      </c>
      <c r="J476" s="9">
        <v>1.22439348697662</v>
      </c>
      <c r="K476" s="9">
        <v>0.32215556502342202</v>
      </c>
      <c r="L476" s="9" t="e">
        <f>IF(OR(OIT!#REF!="",OIT!#REF!=""),"",OIT!#REF!-OIT!#REF!)</f>
        <v>#REF!</v>
      </c>
      <c r="M476" s="9" t="e">
        <f>IF(OR(OIT!#REF!="",OIT!#REF!=""),"",OIT!#REF!-OIT!#REF!)</f>
        <v>#REF!</v>
      </c>
      <c r="N476" s="9" t="e">
        <f>IF(OR(OIT!#REF!="",OIT!#REF!=""),"",OIT!#REF!-OIT!#REF!)</f>
        <v>#REF!</v>
      </c>
      <c r="O476" s="9">
        <f t="shared" si="28"/>
        <v>54782.062702331612</v>
      </c>
      <c r="P476" s="9">
        <f t="shared" si="29"/>
        <v>46993.928267243362</v>
      </c>
      <c r="Q476" s="9">
        <f t="shared" si="30"/>
        <v>28.386889764444973</v>
      </c>
      <c r="R476" s="9">
        <f t="shared" si="31"/>
        <v>171387.08631101603</v>
      </c>
    </row>
    <row r="477" spans="1:18" ht="15.5">
      <c r="A477" s="7" t="s">
        <v>26</v>
      </c>
      <c r="B477" s="7" t="s">
        <v>27</v>
      </c>
      <c r="C477" s="8">
        <v>1997</v>
      </c>
      <c r="D477" s="9">
        <v>94.021207000000004</v>
      </c>
      <c r="E477" s="9">
        <v>33.926212310791001</v>
      </c>
      <c r="F477" s="9">
        <v>1655.02</v>
      </c>
      <c r="G477" s="9">
        <v>2.3440899848938002</v>
      </c>
      <c r="H477" s="9">
        <v>1667041.5</v>
      </c>
      <c r="I477" s="9">
        <v>5844027</v>
      </c>
      <c r="J477" s="9">
        <v>1.26761698722839</v>
      </c>
      <c r="K477" s="9">
        <v>0.33272534608840898</v>
      </c>
      <c r="L477" s="9" t="e">
        <f>IF(OR(OIT!#REF!="",OIT!#REF!=""),"",OIT!#REF!-OIT!#REF!)</f>
        <v>#REF!</v>
      </c>
      <c r="M477" s="9" t="e">
        <f>IF(OR(OIT!#REF!="",OIT!#REF!=""),"",OIT!#REF!-OIT!#REF!)</f>
        <v>#REF!</v>
      </c>
      <c r="N477" s="9" t="e">
        <f>IF(OR(OIT!#REF!="",OIT!#REF!=""),"",OIT!#REF!-OIT!#REF!)</f>
        <v>#REF!</v>
      </c>
      <c r="O477" s="9">
        <f t="shared" si="28"/>
        <v>56148.559898605323</v>
      </c>
      <c r="P477" s="9">
        <f t="shared" si="29"/>
        <v>49137.271344309767</v>
      </c>
      <c r="Q477" s="9">
        <f t="shared" si="30"/>
        <v>29.689835376194711</v>
      </c>
      <c r="R477" s="9">
        <f t="shared" si="31"/>
        <v>172256.98366985621</v>
      </c>
    </row>
    <row r="478" spans="1:18" ht="15.5">
      <c r="A478" s="7" t="s">
        <v>26</v>
      </c>
      <c r="B478" s="7" t="s">
        <v>27</v>
      </c>
      <c r="C478" s="8">
        <v>1998</v>
      </c>
      <c r="D478" s="9">
        <v>95.575244999999995</v>
      </c>
      <c r="E478" s="9">
        <v>35.243160247802699</v>
      </c>
      <c r="F478" s="9">
        <v>1670.33</v>
      </c>
      <c r="G478" s="9">
        <v>2.3683848381042498</v>
      </c>
      <c r="H478" s="9">
        <v>1770149.25</v>
      </c>
      <c r="I478" s="9">
        <v>6043366.5</v>
      </c>
      <c r="J478" s="9">
        <v>1.2853523492813099</v>
      </c>
      <c r="K478" s="9">
        <v>0.34038245677947998</v>
      </c>
      <c r="L478" s="9" t="e">
        <f>IF(OR(OIT!#REF!="",OIT!#REF!=""),"",OIT!#REF!-OIT!#REF!)</f>
        <v>#REF!</v>
      </c>
      <c r="M478" s="9" t="e">
        <f>IF(OR(OIT!#REF!="",OIT!#REF!=""),"",OIT!#REF!-OIT!#REF!)</f>
        <v>#REF!</v>
      </c>
      <c r="N478" s="9" t="e">
        <f>IF(OR(OIT!#REF!="",OIT!#REF!=""),"",OIT!#REF!-OIT!#REF!)</f>
        <v>#REF!</v>
      </c>
      <c r="O478" s="9">
        <f t="shared" si="28"/>
        <v>58867.707856712281</v>
      </c>
      <c r="P478" s="9">
        <f t="shared" si="29"/>
        <v>50226.745772901093</v>
      </c>
      <c r="Q478" s="9">
        <f t="shared" si="30"/>
        <v>30.069953705495976</v>
      </c>
      <c r="R478" s="9">
        <f t="shared" si="31"/>
        <v>171476.2937689955</v>
      </c>
    </row>
    <row r="479" spans="1:18" ht="15.5">
      <c r="A479" s="7" t="s">
        <v>26</v>
      </c>
      <c r="B479" s="7" t="s">
        <v>27</v>
      </c>
      <c r="C479" s="8">
        <v>1999</v>
      </c>
      <c r="D479" s="9">
        <v>97.115707</v>
      </c>
      <c r="E479" s="9">
        <v>36.636566162109403</v>
      </c>
      <c r="F479" s="9">
        <v>1724.06</v>
      </c>
      <c r="G479" s="9">
        <v>2.3929312229156499</v>
      </c>
      <c r="H479" s="9">
        <v>1818917.5</v>
      </c>
      <c r="I479" s="9">
        <v>6246603</v>
      </c>
      <c r="J479" s="9">
        <v>1.2517887353897099</v>
      </c>
      <c r="K479" s="9">
        <v>0.34708821773529103</v>
      </c>
      <c r="L479" s="9" t="e">
        <f>IF(OR(OIT!#REF!="",OIT!#REF!=""),"",OIT!#REF!-OIT!#REF!)</f>
        <v>#REF!</v>
      </c>
      <c r="M479" s="9" t="e">
        <f>IF(OR(OIT!#REF!="",OIT!#REF!=""),"",OIT!#REF!-OIT!#REF!)</f>
        <v>#REF!</v>
      </c>
      <c r="N479" s="9" t="e">
        <f>IF(OR(OIT!#REF!="",OIT!#REF!=""),"",OIT!#REF!-OIT!#REF!)</f>
        <v>#REF!</v>
      </c>
      <c r="O479" s="9">
        <f t="shared" si="28"/>
        <v>63163.638257446335</v>
      </c>
      <c r="P479" s="9">
        <f t="shared" si="29"/>
        <v>49647.597756614457</v>
      </c>
      <c r="Q479" s="9">
        <f t="shared" si="30"/>
        <v>28.79690831909241</v>
      </c>
      <c r="R479" s="9">
        <f t="shared" si="31"/>
        <v>170501.8688803979</v>
      </c>
    </row>
    <row r="480" spans="1:18" ht="15.5">
      <c r="A480" s="7" t="s">
        <v>26</v>
      </c>
      <c r="B480" s="7" t="s">
        <v>27</v>
      </c>
      <c r="C480" s="8">
        <v>2000</v>
      </c>
      <c r="D480" s="9">
        <v>98.625551999999999</v>
      </c>
      <c r="E480" s="9">
        <v>37.8793334960938</v>
      </c>
      <c r="F480" s="9">
        <v>1713.18</v>
      </c>
      <c r="G480" s="9">
        <v>2.4177320003509499</v>
      </c>
      <c r="H480" s="9">
        <v>1910395.875</v>
      </c>
      <c r="I480" s="9">
        <v>6454623.5</v>
      </c>
      <c r="J480" s="9">
        <v>1.2631202936172501</v>
      </c>
      <c r="K480" s="9">
        <v>0.35822042822837802</v>
      </c>
      <c r="L480" s="9" t="e">
        <f>IF(OR(OIT!#REF!="",OIT!#REF!=""),"",OIT!#REF!-OIT!#REF!)</f>
        <v>#REF!</v>
      </c>
      <c r="M480" s="9" t="e">
        <f>IF(OR(OIT!#REF!="",OIT!#REF!=""),"",OIT!#REF!-OIT!#REF!)</f>
        <v>#REF!</v>
      </c>
      <c r="N480" s="9" t="e">
        <f>IF(OR(OIT!#REF!="",OIT!#REF!=""),"",OIT!#REF!-OIT!#REF!)</f>
        <v>#REF!</v>
      </c>
      <c r="O480" s="9">
        <f t="shared" si="28"/>
        <v>64894.116558837981</v>
      </c>
      <c r="P480" s="9">
        <f t="shared" si="29"/>
        <v>50433.724637657739</v>
      </c>
      <c r="Q480" s="9">
        <f t="shared" si="30"/>
        <v>29.43866064141406</v>
      </c>
      <c r="R480" s="9">
        <f t="shared" si="31"/>
        <v>170399.60591348881</v>
      </c>
    </row>
    <row r="481" spans="1:18" ht="15.5">
      <c r="A481" s="7" t="s">
        <v>26</v>
      </c>
      <c r="B481" s="7" t="s">
        <v>27</v>
      </c>
      <c r="C481" s="8">
        <v>2001</v>
      </c>
      <c r="D481" s="9">
        <v>100.099099</v>
      </c>
      <c r="E481" s="9">
        <v>38.762203216552699</v>
      </c>
      <c r="F481" s="9">
        <v>1685.26</v>
      </c>
      <c r="G481" s="9">
        <v>2.4370872974395801</v>
      </c>
      <c r="H481" s="9">
        <v>1901783</v>
      </c>
      <c r="I481" s="9">
        <v>6614301</v>
      </c>
      <c r="J481" s="9">
        <v>1.2262657880783101</v>
      </c>
      <c r="K481" s="9">
        <v>0.374038606882095</v>
      </c>
      <c r="L481" s="9" t="e">
        <f>IF(OR(OIT!#REF!="",OIT!#REF!=""),"",OIT!#REF!-OIT!#REF!)</f>
        <v>#REF!</v>
      </c>
      <c r="M481" s="9" t="e">
        <f>IF(OR(OIT!#REF!="",OIT!#REF!=""),"",OIT!#REF!-OIT!#REF!)</f>
        <v>#REF!</v>
      </c>
      <c r="N481" s="9" t="e">
        <f>IF(OR(OIT!#REF!="",OIT!#REF!=""),"",OIT!#REF!-OIT!#REF!)</f>
        <v>#REF!</v>
      </c>
      <c r="O481" s="9">
        <f t="shared" si="28"/>
        <v>65324.390592727599</v>
      </c>
      <c r="P481" s="9">
        <f t="shared" si="29"/>
        <v>49062.820020196319</v>
      </c>
      <c r="Q481" s="9">
        <f t="shared" si="30"/>
        <v>29.112908405941116</v>
      </c>
      <c r="R481" s="9">
        <f t="shared" si="31"/>
        <v>170637.90112878522</v>
      </c>
    </row>
    <row r="482" spans="1:18" ht="15.5">
      <c r="A482" s="7" t="s">
        <v>26</v>
      </c>
      <c r="B482" s="7" t="s">
        <v>27</v>
      </c>
      <c r="C482" s="8">
        <v>2002</v>
      </c>
      <c r="D482" s="9">
        <v>101.548624</v>
      </c>
      <c r="E482" s="9">
        <v>39.608749389648402</v>
      </c>
      <c r="F482" s="9">
        <v>1632.98</v>
      </c>
      <c r="G482" s="9">
        <v>2.4565975666046098</v>
      </c>
      <c r="H482" s="9">
        <v>1897283.75</v>
      </c>
      <c r="I482" s="9">
        <v>6760300</v>
      </c>
      <c r="J482" s="9">
        <v>1.20410788059235</v>
      </c>
      <c r="K482" s="9">
        <v>0.36696627736091603</v>
      </c>
      <c r="L482" s="9" t="e">
        <f>IF(OR(OIT!#REF!="",OIT!#REF!=""),"",OIT!#REF!-OIT!#REF!)</f>
        <v>#REF!</v>
      </c>
      <c r="M482" s="9" t="e">
        <f>IF(OR(OIT!#REF!="",OIT!#REF!=""),"",OIT!#REF!-OIT!#REF!)</f>
        <v>#REF!</v>
      </c>
      <c r="N482" s="9" t="e">
        <f>IF(OR(OIT!#REF!="",OIT!#REF!=""),"",OIT!#REF!-OIT!#REF!)</f>
        <v>#REF!</v>
      </c>
      <c r="O482" s="9">
        <f t="shared" si="28"/>
        <v>64680.295578308047</v>
      </c>
      <c r="P482" s="9">
        <f t="shared" si="29"/>
        <v>47900.622444187749</v>
      </c>
      <c r="Q482" s="9">
        <f t="shared" si="30"/>
        <v>29.333257262298222</v>
      </c>
      <c r="R482" s="9">
        <f t="shared" si="31"/>
        <v>170676.9363883723</v>
      </c>
    </row>
    <row r="483" spans="1:18" ht="15.5">
      <c r="A483" s="7" t="s">
        <v>26</v>
      </c>
      <c r="B483" s="7" t="s">
        <v>27</v>
      </c>
      <c r="C483" s="8">
        <v>2003</v>
      </c>
      <c r="D483" s="9">
        <v>102.978515</v>
      </c>
      <c r="E483" s="9">
        <v>40.279323577880902</v>
      </c>
      <c r="F483" s="9">
        <v>1642.92</v>
      </c>
      <c r="G483" s="9">
        <v>2.4762637615203902</v>
      </c>
      <c r="H483" s="9">
        <v>1919776.875</v>
      </c>
      <c r="I483" s="9">
        <v>6905019.5</v>
      </c>
      <c r="J483" s="9">
        <v>1.18599653244019</v>
      </c>
      <c r="K483" s="9">
        <v>0.36284652352333102</v>
      </c>
      <c r="L483" s="9" t="e">
        <f>IF(OR(OIT!#REF!="",OIT!#REF!=""),"",OIT!#REF!-OIT!#REF!)</f>
        <v>#REF!</v>
      </c>
      <c r="M483" s="9" t="e">
        <f>IF(OR(OIT!#REF!="",OIT!#REF!=""),"",OIT!#REF!-OIT!#REF!)</f>
        <v>#REF!</v>
      </c>
      <c r="N483" s="9" t="e">
        <f>IF(OR(OIT!#REF!="",OIT!#REF!=""),"",OIT!#REF!-OIT!#REF!)</f>
        <v>#REF!</v>
      </c>
      <c r="O483" s="9">
        <f t="shared" si="28"/>
        <v>66175.706292572097</v>
      </c>
      <c r="P483" s="9">
        <f t="shared" si="29"/>
        <v>47661.596682180418</v>
      </c>
      <c r="Q483" s="9">
        <f t="shared" si="30"/>
        <v>29.010296716931084</v>
      </c>
      <c r="R483" s="9">
        <f t="shared" si="31"/>
        <v>171428.38773468981</v>
      </c>
    </row>
    <row r="484" spans="1:18" ht="15.5">
      <c r="A484" s="7" t="s">
        <v>26</v>
      </c>
      <c r="B484" s="7" t="s">
        <v>27</v>
      </c>
      <c r="C484" s="8">
        <v>2004</v>
      </c>
      <c r="D484" s="9">
        <v>104.394131</v>
      </c>
      <c r="E484" s="9">
        <v>41.629608154296903</v>
      </c>
      <c r="F484" s="9">
        <v>1660.3</v>
      </c>
      <c r="G484" s="9">
        <v>2.4960875511169398</v>
      </c>
      <c r="H484" s="9">
        <v>1988225.25</v>
      </c>
      <c r="I484" s="9">
        <v>7068316.5</v>
      </c>
      <c r="J484" s="9">
        <v>1.18501901626587</v>
      </c>
      <c r="K484" s="9">
        <v>0.34554132819175698</v>
      </c>
      <c r="L484" s="9" t="e">
        <f>IF(OR(OIT!#REF!="",OIT!#REF!=""),"",OIT!#REF!-OIT!#REF!)</f>
        <v>#REF!</v>
      </c>
      <c r="M484" s="9" t="e">
        <f>IF(OR(OIT!#REF!="",OIT!#REF!=""),"",OIT!#REF!-OIT!#REF!)</f>
        <v>#REF!</v>
      </c>
      <c r="N484" s="9" t="e">
        <f>IF(OR(OIT!#REF!="",OIT!#REF!=""),"",OIT!#REF!-OIT!#REF!)</f>
        <v>#REF!</v>
      </c>
      <c r="O484" s="9">
        <f t="shared" si="28"/>
        <v>69117.638418579154</v>
      </c>
      <c r="P484" s="9">
        <f t="shared" si="29"/>
        <v>47759.883845910772</v>
      </c>
      <c r="Q484" s="9">
        <f t="shared" si="30"/>
        <v>28.765815723610654</v>
      </c>
      <c r="R484" s="9">
        <f t="shared" si="31"/>
        <v>169790.60849676593</v>
      </c>
    </row>
    <row r="485" spans="1:18" ht="15.5">
      <c r="A485" s="7" t="s">
        <v>26</v>
      </c>
      <c r="B485" s="7" t="s">
        <v>27</v>
      </c>
      <c r="C485" s="8">
        <v>2005</v>
      </c>
      <c r="D485" s="9">
        <v>105.811504</v>
      </c>
      <c r="E485" s="9">
        <v>42.079135894775398</v>
      </c>
      <c r="F485" s="9">
        <v>1660.96</v>
      </c>
      <c r="G485" s="9">
        <v>2.51607012748718</v>
      </c>
      <c r="H485" s="9">
        <v>2030241.5</v>
      </c>
      <c r="I485" s="9">
        <v>7243768</v>
      </c>
      <c r="J485" s="9">
        <v>1.17951595783234</v>
      </c>
      <c r="K485" s="9">
        <v>0.343340754508972</v>
      </c>
      <c r="L485" s="9" t="e">
        <f>IF(OR(OIT!#REF!="",OIT!#REF!=""),"",OIT!#REF!-OIT!#REF!)</f>
        <v>#REF!</v>
      </c>
      <c r="M485" s="9" t="e">
        <f>IF(OR(OIT!#REF!="",OIT!#REF!=""),"",OIT!#REF!-OIT!#REF!)</f>
        <v>#REF!</v>
      </c>
      <c r="N485" s="9" t="e">
        <f>IF(OR(OIT!#REF!="",OIT!#REF!=""),"",OIT!#REF!-OIT!#REF!)</f>
        <v>#REF!</v>
      </c>
      <c r="O485" s="9">
        <f t="shared" si="28"/>
        <v>69891.761555786143</v>
      </c>
      <c r="P485" s="9">
        <f t="shared" si="29"/>
        <v>48248.174702942924</v>
      </c>
      <c r="Q485" s="9">
        <f t="shared" si="30"/>
        <v>29.048366428416657</v>
      </c>
      <c r="R485" s="9">
        <f t="shared" si="31"/>
        <v>172146.3106588982</v>
      </c>
    </row>
    <row r="486" spans="1:18" ht="15.5">
      <c r="A486" s="7" t="s">
        <v>26</v>
      </c>
      <c r="B486" s="7" t="s">
        <v>27</v>
      </c>
      <c r="C486" s="8">
        <v>2006</v>
      </c>
      <c r="D486" s="9">
        <v>107.253666</v>
      </c>
      <c r="E486" s="9">
        <v>43.378456115722699</v>
      </c>
      <c r="F486" s="9">
        <v>1653.09</v>
      </c>
      <c r="G486" s="9">
        <v>2.5362124443054199</v>
      </c>
      <c r="H486" s="9">
        <v>2127794.75</v>
      </c>
      <c r="I486" s="9">
        <v>7449402.5</v>
      </c>
      <c r="J486" s="9">
        <v>1.1962311267852801</v>
      </c>
      <c r="K486" s="9">
        <v>0.33353158831596402</v>
      </c>
      <c r="L486" s="9" t="e">
        <f>IF(OR(OIT!#REF!="",OIT!#REF!=""),"",OIT!#REF!-OIT!#REF!)</f>
        <v>#REF!</v>
      </c>
      <c r="M486" s="9" t="e">
        <f>IF(OR(OIT!#REF!="",OIT!#REF!=""),"",OIT!#REF!-OIT!#REF!)</f>
        <v>#REF!</v>
      </c>
      <c r="N486" s="9" t="e">
        <f>IF(OR(OIT!#REF!="",OIT!#REF!=""),"",OIT!#REF!-OIT!#REF!)</f>
        <v>#REF!</v>
      </c>
      <c r="O486" s="9">
        <f t="shared" si="28"/>
        <v>71708.49202034004</v>
      </c>
      <c r="P486" s="9">
        <f t="shared" si="29"/>
        <v>49051.878294690439</v>
      </c>
      <c r="Q486" s="9">
        <f t="shared" si="30"/>
        <v>29.672841947317107</v>
      </c>
      <c r="R486" s="9">
        <f t="shared" si="31"/>
        <v>171730.4663892806</v>
      </c>
    </row>
    <row r="487" spans="1:18" ht="15.5">
      <c r="A487" s="7" t="s">
        <v>26</v>
      </c>
      <c r="B487" s="7" t="s">
        <v>27</v>
      </c>
      <c r="C487" s="8">
        <v>2007</v>
      </c>
      <c r="D487" s="9">
        <v>108.77436</v>
      </c>
      <c r="E487" s="9">
        <v>44.231246948242202</v>
      </c>
      <c r="F487" s="9">
        <v>1636.34</v>
      </c>
      <c r="G487" s="9">
        <v>2.5565161705017099</v>
      </c>
      <c r="H487" s="9">
        <v>2172007.5</v>
      </c>
      <c r="I487" s="9">
        <v>7676115</v>
      </c>
      <c r="J487" s="9">
        <v>1.1871539354324301</v>
      </c>
      <c r="K487" s="9">
        <v>0.33195528388023399</v>
      </c>
      <c r="L487" s="9" t="e">
        <f>IF(OR(OIT!#REF!="",OIT!#REF!=""),"",OIT!#REF!-OIT!#REF!)</f>
        <v>#REF!</v>
      </c>
      <c r="M487" s="9" t="e">
        <f>IF(OR(OIT!#REF!="",OIT!#REF!=""),"",OIT!#REF!-OIT!#REF!)</f>
        <v>#REF!</v>
      </c>
      <c r="N487" s="9" t="e">
        <f>IF(OR(OIT!#REF!="",OIT!#REF!=""),"",OIT!#REF!-OIT!#REF!)</f>
        <v>#REF!</v>
      </c>
      <c r="O487" s="9">
        <f t="shared" si="28"/>
        <v>72377.358631286639</v>
      </c>
      <c r="P487" s="9">
        <f t="shared" si="29"/>
        <v>49105.726151957781</v>
      </c>
      <c r="Q487" s="9">
        <f t="shared" si="30"/>
        <v>30.009488341028018</v>
      </c>
      <c r="R487" s="9">
        <f t="shared" si="31"/>
        <v>173545.07344055461</v>
      </c>
    </row>
    <row r="488" spans="1:18" ht="15.5">
      <c r="A488" s="7" t="s">
        <v>26</v>
      </c>
      <c r="B488" s="7" t="s">
        <v>27</v>
      </c>
      <c r="C488" s="8">
        <v>2008</v>
      </c>
      <c r="D488" s="9">
        <v>110.37428800000001</v>
      </c>
      <c r="E488" s="9">
        <v>44.943523406982401</v>
      </c>
      <c r="F488" s="9">
        <v>1645.49</v>
      </c>
      <c r="G488" s="9">
        <v>2.5714151859283398</v>
      </c>
      <c r="H488" s="9">
        <v>2192496.75</v>
      </c>
      <c r="I488" s="9">
        <v>7925027</v>
      </c>
      <c r="J488" s="9">
        <v>1.15977847576141</v>
      </c>
      <c r="K488" s="9">
        <v>0.32946452498436002</v>
      </c>
      <c r="L488" s="9" t="e">
        <f>IF(OR(OIT!#REF!="",OIT!#REF!=""),"",OIT!#REF!-OIT!#REF!)</f>
        <v>#REF!</v>
      </c>
      <c r="M488" s="9" t="e">
        <f>IF(OR(OIT!#REF!="",OIT!#REF!=""),"",OIT!#REF!-OIT!#REF!)</f>
        <v>#REF!</v>
      </c>
      <c r="N488" s="9" t="e">
        <f>IF(OR(OIT!#REF!="",OIT!#REF!=""),"",OIT!#REF!-OIT!#REF!)</f>
        <v>#REF!</v>
      </c>
      <c r="O488" s="9">
        <f t="shared" si="28"/>
        <v>73954.118330955476</v>
      </c>
      <c r="P488" s="9">
        <f t="shared" si="29"/>
        <v>48783.374862402867</v>
      </c>
      <c r="Q488" s="9">
        <f t="shared" si="30"/>
        <v>29.64671609210804</v>
      </c>
      <c r="R488" s="9">
        <f t="shared" si="31"/>
        <v>176333.01528755471</v>
      </c>
    </row>
    <row r="489" spans="1:18" ht="15.5">
      <c r="A489" s="7" t="s">
        <v>26</v>
      </c>
      <c r="B489" s="7" t="s">
        <v>27</v>
      </c>
      <c r="C489" s="8">
        <v>2009</v>
      </c>
      <c r="D489" s="9">
        <v>111.99972099999999</v>
      </c>
      <c r="E489" s="9">
        <v>45.435348510742202</v>
      </c>
      <c r="F489" s="9">
        <v>1632.75</v>
      </c>
      <c r="G489" s="9">
        <v>2.5852568149566699</v>
      </c>
      <c r="H489" s="9">
        <v>2054473.375</v>
      </c>
      <c r="I489" s="9">
        <v>8104519</v>
      </c>
      <c r="J489" s="9">
        <v>1.0677661895752</v>
      </c>
      <c r="K489" s="9">
        <v>0.35877671837806702</v>
      </c>
      <c r="L489" s="9" t="e">
        <f>IF(OR(OIT!#REF!="",OIT!#REF!=""),"",OIT!#REF!-OIT!#REF!)</f>
        <v>#REF!</v>
      </c>
      <c r="M489" s="9" t="e">
        <f>IF(OR(OIT!#REF!="",OIT!#REF!=""),"",OIT!#REF!-OIT!#REF!)</f>
        <v>#REF!</v>
      </c>
      <c r="N489" s="9" t="e">
        <f>IF(OR(OIT!#REF!="",OIT!#REF!=""),"",OIT!#REF!-OIT!#REF!)</f>
        <v>#REF!</v>
      </c>
      <c r="O489" s="9">
        <f t="shared" si="28"/>
        <v>74184.565280914336</v>
      </c>
      <c r="P489" s="9">
        <f t="shared" si="29"/>
        <v>45217.511086423481</v>
      </c>
      <c r="Q489" s="9">
        <f t="shared" si="30"/>
        <v>27.69408120436287</v>
      </c>
      <c r="R489" s="9">
        <f t="shared" si="31"/>
        <v>178374.75150177098</v>
      </c>
    </row>
    <row r="490" spans="1:18" ht="15.5">
      <c r="A490" s="7" t="s">
        <v>26</v>
      </c>
      <c r="B490" s="7" t="s">
        <v>27</v>
      </c>
      <c r="C490" s="8">
        <v>2010</v>
      </c>
      <c r="D490" s="9">
        <v>113.623895</v>
      </c>
      <c r="E490" s="9">
        <v>46.121623992919901</v>
      </c>
      <c r="F490" s="9">
        <v>1633.49</v>
      </c>
      <c r="G490" s="9">
        <v>2.5991728305816699</v>
      </c>
      <c r="H490" s="9">
        <v>2156608.25</v>
      </c>
      <c r="I490" s="9">
        <v>8304676.5</v>
      </c>
      <c r="J490" s="9">
        <v>1.0938540697097801</v>
      </c>
      <c r="K490" s="9">
        <v>0.35063150525093101</v>
      </c>
      <c r="L490" s="9" t="e">
        <f>IF(OR(OIT!#REF!="",OIT!#REF!=""),"",OIT!#REF!-OIT!#REF!)</f>
        <v>#REF!</v>
      </c>
      <c r="M490" s="9" t="e">
        <f>IF(OR(OIT!#REF!="",OIT!#REF!=""),"",OIT!#REF!-OIT!#REF!)</f>
        <v>#REF!</v>
      </c>
      <c r="N490" s="9" t="e">
        <f>IF(OR(OIT!#REF!="",OIT!#REF!=""),"",OIT!#REF!-OIT!#REF!)</f>
        <v>#REF!</v>
      </c>
      <c r="O490" s="9">
        <f t="shared" si="28"/>
        <v>75339.211576194735</v>
      </c>
      <c r="P490" s="9">
        <f t="shared" si="29"/>
        <v>46759.156839990275</v>
      </c>
      <c r="Q490" s="9">
        <f t="shared" si="30"/>
        <v>28.625309515203806</v>
      </c>
      <c r="R490" s="9">
        <f t="shared" si="31"/>
        <v>180060.3660719936</v>
      </c>
    </row>
    <row r="491" spans="1:18" ht="15.5">
      <c r="A491" s="7" t="s">
        <v>26</v>
      </c>
      <c r="B491" s="7" t="s">
        <v>27</v>
      </c>
      <c r="C491" s="8">
        <v>2011</v>
      </c>
      <c r="D491" s="9">
        <v>115.243504</v>
      </c>
      <c r="E491" s="9">
        <v>47.138889312744098</v>
      </c>
      <c r="F491" s="9">
        <v>1634.78</v>
      </c>
      <c r="G491" s="9">
        <v>2.6183607578277601</v>
      </c>
      <c r="H491" s="9">
        <v>2230883</v>
      </c>
      <c r="I491" s="9">
        <v>8536764</v>
      </c>
      <c r="J491" s="9">
        <v>1.0973867177963299</v>
      </c>
      <c r="K491" s="9">
        <v>0.34090721607208302</v>
      </c>
      <c r="L491" s="9" t="e">
        <f>IF(OR(OIT!#REF!="",OIT!#REF!=""),"",OIT!#REF!-OIT!#REF!)</f>
        <v>#REF!</v>
      </c>
      <c r="M491" s="9" t="e">
        <f>IF(OR(OIT!#REF!="",OIT!#REF!=""),"",OIT!#REF!-OIT!#REF!)</f>
        <v>#REF!</v>
      </c>
      <c r="N491" s="9" t="e">
        <f>IF(OR(OIT!#REF!="",OIT!#REF!=""),"",OIT!#REF!-OIT!#REF!)</f>
        <v>#REF!</v>
      </c>
      <c r="O491" s="9">
        <f t="shared" si="28"/>
        <v>77061.713470687799</v>
      </c>
      <c r="P491" s="9">
        <f t="shared" si="29"/>
        <v>47325.743829031548</v>
      </c>
      <c r="Q491" s="9">
        <f t="shared" si="30"/>
        <v>28.949304388989063</v>
      </c>
      <c r="R491" s="9">
        <f t="shared" si="31"/>
        <v>181098.1150481216</v>
      </c>
    </row>
    <row r="492" spans="1:18" ht="15.5">
      <c r="A492" s="7" t="s">
        <v>26</v>
      </c>
      <c r="B492" s="7" t="s">
        <v>27</v>
      </c>
      <c r="C492" s="8">
        <v>2012</v>
      </c>
      <c r="D492" s="9">
        <v>116.818208</v>
      </c>
      <c r="E492" s="9">
        <v>48.706737518310597</v>
      </c>
      <c r="F492" s="9">
        <v>1631.57</v>
      </c>
      <c r="G492" s="9">
        <v>2.6376903057098402</v>
      </c>
      <c r="H492" s="9">
        <v>2310150.75</v>
      </c>
      <c r="I492" s="9">
        <v>8777368</v>
      </c>
      <c r="J492" s="9">
        <v>1.0989241600036601</v>
      </c>
      <c r="K492" s="9">
        <v>0.33416244387626698</v>
      </c>
      <c r="L492" s="9" t="e">
        <f>IF(OR(OIT!#REF!="",OIT!#REF!=""),"",OIT!#REF!-OIT!#REF!)</f>
        <v>#REF!</v>
      </c>
      <c r="M492" s="9" t="e">
        <f>IF(OR(OIT!#REF!="",OIT!#REF!=""),"",OIT!#REF!-OIT!#REF!)</f>
        <v>#REF!</v>
      </c>
      <c r="N492" s="9" t="e">
        <f>IF(OR(OIT!#REF!="",OIT!#REF!=""),"",OIT!#REF!-OIT!#REF!)</f>
        <v>#REF!</v>
      </c>
      <c r="O492" s="9">
        <f t="shared" si="28"/>
        <v>79468.451732750022</v>
      </c>
      <c r="P492" s="9">
        <f t="shared" si="29"/>
        <v>47429.798580361334</v>
      </c>
      <c r="Q492" s="9">
        <f t="shared" si="30"/>
        <v>29.070035965579983</v>
      </c>
      <c r="R492" s="9">
        <f t="shared" si="31"/>
        <v>180208.49778124175</v>
      </c>
    </row>
    <row r="493" spans="1:18" ht="15.5">
      <c r="A493" s="7" t="s">
        <v>26</v>
      </c>
      <c r="B493" s="7" t="s">
        <v>27</v>
      </c>
      <c r="C493" s="8">
        <v>2013</v>
      </c>
      <c r="D493" s="9">
        <v>118.34357300000001</v>
      </c>
      <c r="E493" s="9">
        <v>49.227310180664098</v>
      </c>
      <c r="F493" s="9">
        <v>1635.84</v>
      </c>
      <c r="G493" s="9">
        <v>2.6571626663207999</v>
      </c>
      <c r="H493" s="9">
        <v>2329835.75</v>
      </c>
      <c r="I493" s="9">
        <v>8984429</v>
      </c>
      <c r="J493" s="9">
        <v>1.0820382833480799</v>
      </c>
      <c r="K493" s="9">
        <v>0.351232379674912</v>
      </c>
      <c r="L493" s="9" t="e">
        <f>IF(OR(OIT!#REF!="",OIT!#REF!=""),"",OIT!#REF!-OIT!#REF!)</f>
        <v>#REF!</v>
      </c>
      <c r="M493" s="9" t="e">
        <f>IF(OR(OIT!#REF!="",OIT!#REF!=""),"",OIT!#REF!-OIT!#REF!)</f>
        <v>#REF!</v>
      </c>
      <c r="N493" s="9" t="e">
        <f>IF(OR(OIT!#REF!="",OIT!#REF!=""),"",OIT!#REF!-OIT!#REF!)</f>
        <v>#REF!</v>
      </c>
      <c r="O493" s="9">
        <f t="shared" si="28"/>
        <v>80528.003085937555</v>
      </c>
      <c r="P493" s="9">
        <f t="shared" si="29"/>
        <v>47328.11403770608</v>
      </c>
      <c r="Q493" s="9">
        <f t="shared" si="30"/>
        <v>28.931994594646227</v>
      </c>
      <c r="R493" s="9">
        <f t="shared" si="31"/>
        <v>182509.03750432777</v>
      </c>
    </row>
    <row r="494" spans="1:18" ht="15.5">
      <c r="A494" s="7" t="s">
        <v>26</v>
      </c>
      <c r="B494" s="7" t="s">
        <v>27</v>
      </c>
      <c r="C494" s="8">
        <v>2014</v>
      </c>
      <c r="D494" s="9">
        <v>119.784261</v>
      </c>
      <c r="E494" s="9">
        <v>49.415416717529297</v>
      </c>
      <c r="F494" s="9">
        <v>1633.2</v>
      </c>
      <c r="G494" s="9">
        <v>2.67677879333496</v>
      </c>
      <c r="H494" s="9">
        <v>2388169.25</v>
      </c>
      <c r="I494" s="9">
        <v>9194518</v>
      </c>
      <c r="J494" s="9">
        <v>1.08731949329376</v>
      </c>
      <c r="K494" s="9">
        <v>0.35132762789726302</v>
      </c>
      <c r="L494" s="9" t="e">
        <f>IF(OR(OIT!#REF!="",OIT!#REF!=""),"",OIT!#REF!-OIT!#REF!)</f>
        <v>#REF!</v>
      </c>
      <c r="M494" s="9" t="e">
        <f>IF(OR(OIT!#REF!="",OIT!#REF!=""),"",OIT!#REF!-OIT!#REF!)</f>
        <v>#REF!</v>
      </c>
      <c r="N494" s="9" t="e">
        <f>IF(OR(OIT!#REF!="",OIT!#REF!=""),"",OIT!#REF!-OIT!#REF!)</f>
        <v>#REF!</v>
      </c>
      <c r="O494" s="9">
        <f t="shared" si="28"/>
        <v>80705.258583068848</v>
      </c>
      <c r="P494" s="9">
        <f t="shared" si="29"/>
        <v>48328.424783936644</v>
      </c>
      <c r="Q494" s="9">
        <f t="shared" si="30"/>
        <v>29.591247112378547</v>
      </c>
      <c r="R494" s="9">
        <f t="shared" si="31"/>
        <v>186065.7788754091</v>
      </c>
    </row>
    <row r="495" spans="1:18" ht="15.5">
      <c r="A495" s="7" t="s">
        <v>26</v>
      </c>
      <c r="B495" s="7" t="s">
        <v>27</v>
      </c>
      <c r="C495" s="8">
        <v>2015</v>
      </c>
      <c r="D495" s="9">
        <v>121.072306</v>
      </c>
      <c r="E495" s="9">
        <v>50.611331939697301</v>
      </c>
      <c r="F495" s="9">
        <v>1637.1</v>
      </c>
      <c r="G495" s="9">
        <v>2.6965396404266402</v>
      </c>
      <c r="H495" s="9">
        <v>2452705.25</v>
      </c>
      <c r="I495" s="9">
        <v>9423436</v>
      </c>
      <c r="J495" s="9">
        <v>1.08345293998718</v>
      </c>
      <c r="K495" s="9">
        <v>0.35461717844009399</v>
      </c>
      <c r="L495" s="9" t="e">
        <f>IF(OR(OIT!#REF!="",OIT!#REF!=""),"",OIT!#REF!-OIT!#REF!)</f>
        <v>#REF!</v>
      </c>
      <c r="M495" s="9" t="e">
        <f>IF(OR(OIT!#REF!="",OIT!#REF!=""),"",OIT!#REF!-OIT!#REF!)</f>
        <v>#REF!</v>
      </c>
      <c r="N495" s="9" t="e">
        <f>IF(OR(OIT!#REF!="",OIT!#REF!=""),"",OIT!#REF!-OIT!#REF!)</f>
        <v>#REF!</v>
      </c>
      <c r="O495" s="9">
        <f t="shared" si="28"/>
        <v>82855.81151847844</v>
      </c>
      <c r="P495" s="9">
        <f t="shared" si="29"/>
        <v>48461.582732546223</v>
      </c>
      <c r="Q495" s="9">
        <f t="shared" si="30"/>
        <v>29.602090729061288</v>
      </c>
      <c r="R495" s="9">
        <f t="shared" si="31"/>
        <v>186192.21504045563</v>
      </c>
    </row>
    <row r="496" spans="1:18" ht="15.5">
      <c r="A496" s="7" t="s">
        <v>26</v>
      </c>
      <c r="B496" s="7" t="s">
        <v>27</v>
      </c>
      <c r="C496" s="8">
        <v>2016</v>
      </c>
      <c r="D496" s="9">
        <v>122.251351</v>
      </c>
      <c r="E496" s="9">
        <v>51.594753265380902</v>
      </c>
      <c r="F496" s="9">
        <v>1645.09</v>
      </c>
      <c r="G496" s="9">
        <v>2.7164463996887198</v>
      </c>
      <c r="H496" s="9">
        <v>2496179.25</v>
      </c>
      <c r="I496" s="9">
        <v>9648700</v>
      </c>
      <c r="J496" s="9">
        <v>1.07127821445465</v>
      </c>
      <c r="K496" s="9">
        <v>0.34736976027488697</v>
      </c>
      <c r="L496" s="9" t="e">
        <f>IF(OR(OIT!#REF!="",OIT!#REF!=""),"",OIT!#REF!-OIT!#REF!)</f>
        <v>#REF!</v>
      </c>
      <c r="M496" s="9" t="e">
        <f>IF(OR(OIT!#REF!="",OIT!#REF!=""),"",OIT!#REF!-OIT!#REF!)</f>
        <v>#REF!</v>
      </c>
      <c r="N496" s="9" t="e">
        <f>IF(OR(OIT!#REF!="",OIT!#REF!=""),"",OIT!#REF!-OIT!#REF!)</f>
        <v>#REF!</v>
      </c>
      <c r="O496" s="9">
        <f t="shared" si="28"/>
        <v>84878.012649345459</v>
      </c>
      <c r="P496" s="9">
        <f t="shared" si="29"/>
        <v>48380.486232015552</v>
      </c>
      <c r="Q496" s="9">
        <f t="shared" si="30"/>
        <v>29.409020924092637</v>
      </c>
      <c r="R496" s="9">
        <f t="shared" si="31"/>
        <v>187009.32535467893</v>
      </c>
    </row>
    <row r="497" spans="1:18" ht="15.5">
      <c r="A497" s="7" t="s">
        <v>26</v>
      </c>
      <c r="B497" s="7" t="s">
        <v>27</v>
      </c>
      <c r="C497" s="8">
        <v>2017</v>
      </c>
      <c r="D497" s="9">
        <v>123.400057</v>
      </c>
      <c r="E497" s="9">
        <v>52.340747833252003</v>
      </c>
      <c r="F497" s="9">
        <v>1648.54</v>
      </c>
      <c r="G497" s="9">
        <v>2.73650026321411</v>
      </c>
      <c r="H497" s="9">
        <v>2542901</v>
      </c>
      <c r="I497" s="9">
        <v>9855634</v>
      </c>
      <c r="J497" s="9">
        <v>1.0655592679977399</v>
      </c>
      <c r="K497" s="9">
        <v>0.33644470572471602</v>
      </c>
      <c r="L497" s="9" t="e">
        <f>IF(OR(OIT!#REF!="",OIT!#REF!=""),"",OIT!#REF!-OIT!#REF!)</f>
        <v>#REF!</v>
      </c>
      <c r="M497" s="9" t="e">
        <f>IF(OR(OIT!#REF!="",OIT!#REF!=""),"",OIT!#REF!-OIT!#REF!)</f>
        <v>#REF!</v>
      </c>
      <c r="N497" s="9" t="e">
        <f>IF(OR(OIT!#REF!="",OIT!#REF!=""),"",OIT!#REF!-OIT!#REF!)</f>
        <v>#REF!</v>
      </c>
      <c r="O497" s="9">
        <f t="shared" si="28"/>
        <v>86285.816433029249</v>
      </c>
      <c r="P497" s="9">
        <f t="shared" si="29"/>
        <v>48583.581726826196</v>
      </c>
      <c r="Q497" s="9">
        <f t="shared" si="30"/>
        <v>29.470672065479881</v>
      </c>
      <c r="R497" s="9">
        <f t="shared" si="31"/>
        <v>188297.53887732438</v>
      </c>
    </row>
    <row r="498" spans="1:18" ht="15.5">
      <c r="A498" s="7" t="s">
        <v>26</v>
      </c>
      <c r="B498" s="7" t="s">
        <v>27</v>
      </c>
      <c r="C498" s="8">
        <v>2018</v>
      </c>
      <c r="D498" s="9">
        <v>124.573711</v>
      </c>
      <c r="E498" s="9">
        <v>53.721195220947301</v>
      </c>
      <c r="F498" s="9">
        <v>1648.55</v>
      </c>
      <c r="G498" s="9">
        <v>2.7567019462585498</v>
      </c>
      <c r="H498" s="9">
        <v>2593049</v>
      </c>
      <c r="I498" s="9">
        <v>10053732</v>
      </c>
      <c r="J498" s="9">
        <v>1.05838358402252</v>
      </c>
      <c r="K498" s="9">
        <v>0.33817848563194303</v>
      </c>
      <c r="L498" s="9" t="e">
        <f>IF(OR(OIT!#REF!="",OIT!#REF!=""),"",OIT!#REF!-OIT!#REF!)</f>
        <v>#REF!</v>
      </c>
      <c r="M498" s="9" t="e">
        <f>IF(OR(OIT!#REF!="",OIT!#REF!=""),"",OIT!#REF!-OIT!#REF!)</f>
        <v>#REF!</v>
      </c>
      <c r="N498" s="9" t="e">
        <f>IF(OR(OIT!#REF!="",OIT!#REF!=""),"",OIT!#REF!-OIT!#REF!)</f>
        <v>#REF!</v>
      </c>
      <c r="O498" s="9">
        <f t="shared" si="28"/>
        <v>88562.076381492676</v>
      </c>
      <c r="P498" s="9">
        <f t="shared" si="29"/>
        <v>48268.639395217739</v>
      </c>
      <c r="Q498" s="9">
        <f t="shared" si="30"/>
        <v>29.27945127246231</v>
      </c>
      <c r="R498" s="9">
        <f t="shared" si="31"/>
        <v>187146.46907334233</v>
      </c>
    </row>
    <row r="499" spans="1:18" ht="15.5">
      <c r="A499" s="7" t="s">
        <v>26</v>
      </c>
      <c r="B499" s="7" t="s">
        <v>27</v>
      </c>
      <c r="C499" s="8">
        <v>2019</v>
      </c>
      <c r="D499" s="9">
        <v>125.76298199999999</v>
      </c>
      <c r="E499" s="9">
        <v>55.189243316650398</v>
      </c>
      <c r="F499" s="9">
        <v>1639.34</v>
      </c>
      <c r="G499" s="9">
        <v>2.7770528793335001</v>
      </c>
      <c r="H499" s="9">
        <v>2582866.5</v>
      </c>
      <c r="I499" s="9">
        <v>10215500</v>
      </c>
      <c r="J499" s="9">
        <v>1.0322597026825</v>
      </c>
      <c r="K499" s="9">
        <v>0.34772375226020802</v>
      </c>
      <c r="L499" s="9" t="e">
        <f>IF(OR(OIT!#REF!="",OIT!#REF!=""),"",OIT!#REF!-OIT!#REF!)</f>
        <v>#REF!</v>
      </c>
      <c r="M499" s="9" t="e">
        <f>IF(OR(OIT!#REF!="",OIT!#REF!=""),"",OIT!#REF!-OIT!#REF!)</f>
        <v>#REF!</v>
      </c>
      <c r="N499" s="9" t="e">
        <f>IF(OR(OIT!#REF!="",OIT!#REF!=""),"",OIT!#REF!-OIT!#REF!)</f>
        <v>#REF!</v>
      </c>
      <c r="O499" s="9">
        <f t="shared" si="28"/>
        <v>90473.934138717654</v>
      </c>
      <c r="P499" s="9">
        <f t="shared" si="29"/>
        <v>46800.179614362612</v>
      </c>
      <c r="Q499" s="9">
        <f t="shared" si="30"/>
        <v>28.548183790039051</v>
      </c>
      <c r="R499" s="9">
        <f t="shared" si="31"/>
        <v>185099.47566028722</v>
      </c>
    </row>
    <row r="500" spans="1:18" ht="15.5">
      <c r="A500" s="7" t="s">
        <v>26</v>
      </c>
      <c r="B500" s="7" t="s">
        <v>27</v>
      </c>
      <c r="C500" s="8">
        <v>2020</v>
      </c>
      <c r="D500" s="9">
        <v>126.799054</v>
      </c>
      <c r="E500" s="9">
        <v>51.381484985351598</v>
      </c>
      <c r="F500" s="9">
        <v>1587.37</v>
      </c>
      <c r="G500" s="9">
        <v>2.7975540161132799</v>
      </c>
      <c r="H500" s="9">
        <v>2367093</v>
      </c>
      <c r="I500" s="9">
        <v>10279037</v>
      </c>
      <c r="J500" s="9">
        <v>0.97714704275131203</v>
      </c>
      <c r="K500" s="9">
        <v>0.37029710412025502</v>
      </c>
      <c r="L500" s="9" t="e">
        <f>IF(OR(OIT!#REF!="",OIT!#REF!=""),"",OIT!#REF!-OIT!#REF!)</f>
        <v>#REF!</v>
      </c>
      <c r="M500" s="9" t="e">
        <f>IF(OR(OIT!#REF!="",OIT!#REF!=""),"",OIT!#REF!-OIT!#REF!)</f>
        <v>#REF!</v>
      </c>
      <c r="N500" s="9" t="e">
        <f>IF(OR(OIT!#REF!="",OIT!#REF!=""),"",OIT!#REF!-OIT!#REF!)</f>
        <v>#REF!</v>
      </c>
      <c r="O500" s="9">
        <f t="shared" si="28"/>
        <v>81561.427821197562</v>
      </c>
      <c r="P500" s="9">
        <f t="shared" si="29"/>
        <v>46068.987703933373</v>
      </c>
      <c r="Q500" s="9">
        <f t="shared" si="30"/>
        <v>29.022211396166853</v>
      </c>
      <c r="R500" s="9">
        <f t="shared" si="31"/>
        <v>200053.32665901855</v>
      </c>
    </row>
    <row r="501" spans="1:18" ht="15.5">
      <c r="A501" s="7" t="s">
        <v>26</v>
      </c>
      <c r="B501" s="7" t="s">
        <v>27</v>
      </c>
      <c r="C501" s="8">
        <v>2021</v>
      </c>
      <c r="D501" s="9">
        <v>127.64814800000001</v>
      </c>
      <c r="E501" s="9">
        <v>53.870269775390597</v>
      </c>
      <c r="F501" s="9">
        <v>1626.72</v>
      </c>
      <c r="G501" s="9">
        <v>2.8155679702758798</v>
      </c>
      <c r="H501" s="9">
        <v>2510266.25</v>
      </c>
      <c r="I501" s="9">
        <v>10393107</v>
      </c>
      <c r="J501" s="9">
        <v>1</v>
      </c>
      <c r="K501" s="9">
        <v>0.37922307848930398</v>
      </c>
      <c r="L501" s="9" t="e">
        <f>IF(OR(OIT!#REF!="",OIT!#REF!=""),"",OIT!#REF!-OIT!#REF!)</f>
        <v>#REF!</v>
      </c>
      <c r="M501" s="9" t="e">
        <f>IF(OR(OIT!#REF!="",OIT!#REF!=""),"",OIT!#REF!-OIT!#REF!)</f>
        <v>#REF!</v>
      </c>
      <c r="N501" s="9" t="e">
        <f>IF(OR(OIT!#REF!="",OIT!#REF!=""),"",OIT!#REF!-OIT!#REF!)</f>
        <v>#REF!</v>
      </c>
      <c r="O501" s="9">
        <f t="shared" si="28"/>
        <v>87631.84524902339</v>
      </c>
      <c r="P501" s="9">
        <f t="shared" si="29"/>
        <v>46598.360477243383</v>
      </c>
      <c r="Q501" s="9">
        <f t="shared" si="30"/>
        <v>28.645593880473214</v>
      </c>
      <c r="R501" s="9">
        <f t="shared" si="31"/>
        <v>192928.43795536092</v>
      </c>
    </row>
    <row r="502" spans="1:18" ht="15.5">
      <c r="A502" s="7" t="s">
        <v>26</v>
      </c>
      <c r="B502" s="7" t="s">
        <v>27</v>
      </c>
      <c r="C502" s="8">
        <v>2022</v>
      </c>
      <c r="D502" s="9">
        <v>128.61311699999999</v>
      </c>
      <c r="E502" s="9">
        <v>57.884391784667997</v>
      </c>
      <c r="F502" s="9">
        <v>1639.79</v>
      </c>
      <c r="G502" s="9">
        <v>2.8338825702667201</v>
      </c>
      <c r="H502" s="9">
        <v>2603422</v>
      </c>
      <c r="I502" s="9">
        <v>10544608</v>
      </c>
      <c r="J502" s="9">
        <v>0.99498808383941695</v>
      </c>
      <c r="K502" s="9">
        <v>0.38091149926185602</v>
      </c>
      <c r="L502" s="9" t="e">
        <f>IF(OR(OIT!#REF!="",OIT!#REF!=""),"",OIT!#REF!-OIT!#REF!)</f>
        <v>#REF!</v>
      </c>
      <c r="M502" s="9" t="e">
        <f>IF(OR(OIT!#REF!="",OIT!#REF!=""),"",OIT!#REF!-OIT!#REF!)</f>
        <v>#REF!</v>
      </c>
      <c r="N502" s="9" t="e">
        <f>IF(OR(OIT!#REF!="",OIT!#REF!=""),"",OIT!#REF!-OIT!#REF!)</f>
        <v>#REF!</v>
      </c>
      <c r="O502" s="9">
        <f t="shared" si="28"/>
        <v>94918.246804580733</v>
      </c>
      <c r="P502" s="9">
        <f t="shared" si="29"/>
        <v>44976.234866297338</v>
      </c>
      <c r="Q502" s="9">
        <f t="shared" si="30"/>
        <v>27.4280455828474</v>
      </c>
      <c r="R502" s="9">
        <f t="shared" si="31"/>
        <v>182166.68906579027</v>
      </c>
    </row>
    <row r="503" spans="1:18" ht="15.5">
      <c r="A503" s="7" t="s">
        <v>26</v>
      </c>
      <c r="B503" s="7" t="s">
        <v>27</v>
      </c>
      <c r="C503" s="8">
        <v>2023</v>
      </c>
      <c r="D503" s="9">
        <v>129.73975899999999</v>
      </c>
      <c r="E503" s="9">
        <v>59.4779663085938</v>
      </c>
      <c r="F503" s="9">
        <v>1628.87</v>
      </c>
      <c r="G503" s="9">
        <v>2.8525040149688698</v>
      </c>
      <c r="H503" s="9">
        <v>2689214.75</v>
      </c>
      <c r="I503" s="9">
        <v>10777758</v>
      </c>
      <c r="J503" s="9">
        <v>1.0007426738739</v>
      </c>
      <c r="K503" s="9">
        <v>0.38091149926185602</v>
      </c>
      <c r="L503" s="9" t="e">
        <f>IF(OR(OIT!#REF!="",OIT!#REF!=""),"",OIT!#REF!-OIT!#REF!)</f>
        <v>#REF!</v>
      </c>
      <c r="M503" s="9" t="e">
        <f>IF(OR(OIT!#REF!="",OIT!#REF!=""),"",OIT!#REF!-OIT!#REF!)</f>
        <v>#REF!</v>
      </c>
      <c r="N503" s="9" t="e">
        <f>IF(OR(OIT!#REF!="",OIT!#REF!=""),"",OIT!#REF!-OIT!#REF!)</f>
        <v>#REF!</v>
      </c>
      <c r="O503" s="9">
        <f t="shared" si="28"/>
        <v>96881.874981079178</v>
      </c>
      <c r="P503" s="9">
        <f t="shared" si="29"/>
        <v>45213.629801115829</v>
      </c>
      <c r="Q503" s="9">
        <f t="shared" si="30"/>
        <v>27.757666235559519</v>
      </c>
      <c r="R503" s="9">
        <f t="shared" si="31"/>
        <v>181205.89302063533</v>
      </c>
    </row>
    <row r="504" spans="1:18" ht="15.5">
      <c r="A504" s="7" t="s">
        <v>26</v>
      </c>
      <c r="B504" s="7" t="s">
        <v>27</v>
      </c>
      <c r="C504" s="8">
        <v>2024</v>
      </c>
      <c r="D504" s="9"/>
      <c r="E504" s="9"/>
      <c r="F504" s="9"/>
      <c r="G504" s="9"/>
      <c r="H504" s="9"/>
      <c r="I504" s="9"/>
      <c r="J504" s="9"/>
      <c r="K504" s="9"/>
      <c r="L504" s="9" t="e">
        <f>IF(OR(OIT!#REF!="",OIT!#REF!=""),"",OIT!#REF!-OIT!#REF!)</f>
        <v>#REF!</v>
      </c>
      <c r="M504" s="9" t="e">
        <f>IF(OR(OIT!#REF!="",OIT!#REF!=""),"",OIT!#REF!-OIT!#REF!)</f>
        <v>#REF!</v>
      </c>
      <c r="N504" s="9" t="e">
        <f>IF(OR(OIT!#REF!="",OIT!#REF!=""),"",OIT!#REF!-OIT!#REF!)</f>
        <v>#REF!</v>
      </c>
      <c r="O504" s="9">
        <f t="shared" si="28"/>
        <v>0</v>
      </c>
      <c r="P504" s="9" t="str">
        <f t="shared" si="29"/>
        <v/>
      </c>
      <c r="Q504" s="9" t="str">
        <f t="shared" si="30"/>
        <v/>
      </c>
      <c r="R504" s="9" t="str">
        <f t="shared" si="31"/>
        <v/>
      </c>
    </row>
    <row r="505" spans="1:18" ht="15.5">
      <c r="A505" s="7" t="s">
        <v>26</v>
      </c>
      <c r="B505" s="7" t="s">
        <v>27</v>
      </c>
      <c r="C505" s="8">
        <v>2025</v>
      </c>
      <c r="D505" s="9"/>
      <c r="E505" s="9"/>
      <c r="F505" s="9"/>
      <c r="G505" s="9"/>
      <c r="H505" s="9"/>
      <c r="I505" s="9"/>
      <c r="J505" s="9"/>
      <c r="K505" s="9"/>
      <c r="L505" s="9" t="e">
        <f>IF(OR(OIT!#REF!="",OIT!#REF!=""),"",OIT!#REF!-OIT!#REF!)</f>
        <v>#REF!</v>
      </c>
      <c r="M505" s="9" t="e">
        <f>IF(OR(OIT!#REF!="",OIT!#REF!=""),"",OIT!#REF!-OIT!#REF!)</f>
        <v>#REF!</v>
      </c>
      <c r="N505" s="9" t="e">
        <f>IF(OR(OIT!#REF!="",OIT!#REF!=""),"",OIT!#REF!-OIT!#REF!)</f>
        <v>#REF!</v>
      </c>
      <c r="O505" s="9">
        <f t="shared" si="28"/>
        <v>0</v>
      </c>
      <c r="P505" s="9" t="str">
        <f t="shared" si="29"/>
        <v/>
      </c>
      <c r="Q505" s="9" t="str">
        <f t="shared" si="30"/>
        <v/>
      </c>
      <c r="R505" s="9" t="str">
        <f t="shared" si="31"/>
        <v/>
      </c>
    </row>
    <row r="506" spans="1:18" ht="15.5">
      <c r="A506" s="7" t="s">
        <v>28</v>
      </c>
      <c r="B506" s="7" t="s">
        <v>29</v>
      </c>
      <c r="C506" s="8">
        <v>1990</v>
      </c>
      <c r="D506" s="9">
        <v>4.1625589999999999</v>
      </c>
      <c r="E506" s="9">
        <v>1.1224000453948999</v>
      </c>
      <c r="F506" s="9"/>
      <c r="G506" s="9">
        <v>1.72451949119568</v>
      </c>
      <c r="H506" s="9">
        <v>17206.025390625</v>
      </c>
      <c r="I506" s="9">
        <v>111252.4375</v>
      </c>
      <c r="J506" s="9">
        <v>1.0528599023819001</v>
      </c>
      <c r="K506" s="9">
        <v>0.54150086641311701</v>
      </c>
      <c r="L506" s="9" t="e">
        <f>IF(OR(OIT!#REF!="",OIT!#REF!=""),"",OIT!#REF!-OIT!#REF!)</f>
        <v>#REF!</v>
      </c>
      <c r="M506" s="9" t="e">
        <f>IF(OR(OIT!#REF!="",OIT!#REF!=""),"",OIT!#REF!-OIT!#REF!)</f>
        <v>#REF!</v>
      </c>
      <c r="N506" s="9" t="e">
        <f>IF(OR(OIT!#REF!="",OIT!#REF!=""),"",OIT!#REF!-OIT!#REF!)</f>
        <v>#REF!</v>
      </c>
      <c r="O506" s="9">
        <f t="shared" si="28"/>
        <v>0</v>
      </c>
      <c r="P506" s="9">
        <f t="shared" si="29"/>
        <v>15329.672750121204</v>
      </c>
      <c r="Q506" s="9" t="str">
        <f t="shared" si="30"/>
        <v/>
      </c>
      <c r="R506" s="9">
        <f t="shared" si="31"/>
        <v>99120.129187857849</v>
      </c>
    </row>
    <row r="507" spans="1:18" ht="15.5">
      <c r="A507" s="7" t="s">
        <v>28</v>
      </c>
      <c r="B507" s="7" t="s">
        <v>29</v>
      </c>
      <c r="C507" s="8">
        <v>1991</v>
      </c>
      <c r="D507" s="9">
        <v>4.2596369999999997</v>
      </c>
      <c r="E507" s="9">
        <v>1.11699998378754</v>
      </c>
      <c r="F507" s="9"/>
      <c r="G507" s="9">
        <v>1.7409859895706199</v>
      </c>
      <c r="H507" s="9">
        <v>17173.400390625</v>
      </c>
      <c r="I507" s="9">
        <v>111139.4609375</v>
      </c>
      <c r="J507" s="9">
        <v>1.05273509025574</v>
      </c>
      <c r="K507" s="9">
        <v>0.54150086641311701</v>
      </c>
      <c r="L507" s="9" t="e">
        <f>IF(OR(OIT!#REF!="",OIT!#REF!=""),"",OIT!#REF!-OIT!#REF!)</f>
        <v>#REF!</v>
      </c>
      <c r="M507" s="9" t="e">
        <f>IF(OR(OIT!#REF!="",OIT!#REF!=""),"",OIT!#REF!-OIT!#REF!)</f>
        <v>#REF!</v>
      </c>
      <c r="N507" s="9" t="e">
        <f>IF(OR(OIT!#REF!="",OIT!#REF!=""),"",OIT!#REF!-OIT!#REF!)</f>
        <v>#REF!</v>
      </c>
      <c r="O507" s="9">
        <f t="shared" si="28"/>
        <v>0</v>
      </c>
      <c r="P507" s="9">
        <f t="shared" si="29"/>
        <v>15374.575326664895</v>
      </c>
      <c r="Q507" s="9" t="str">
        <f t="shared" si="30"/>
        <v/>
      </c>
      <c r="R507" s="9">
        <f t="shared" si="31"/>
        <v>99498.175962945577</v>
      </c>
    </row>
    <row r="508" spans="1:18" ht="15.5">
      <c r="A508" s="7" t="s">
        <v>28</v>
      </c>
      <c r="B508" s="7" t="s">
        <v>29</v>
      </c>
      <c r="C508" s="8">
        <v>1992</v>
      </c>
      <c r="D508" s="9">
        <v>4.3570260000000003</v>
      </c>
      <c r="E508" s="9">
        <v>1.1237000226974501</v>
      </c>
      <c r="F508" s="9"/>
      <c r="G508" s="9">
        <v>1.7576097249984699</v>
      </c>
      <c r="H508" s="9">
        <v>17239.796875</v>
      </c>
      <c r="I508" s="9">
        <v>111748.546875</v>
      </c>
      <c r="J508" s="9">
        <v>1.04927742481232</v>
      </c>
      <c r="K508" s="9">
        <v>0.54150086641311701</v>
      </c>
      <c r="L508" s="9" t="e">
        <f>IF(OR(OIT!#REF!="",OIT!#REF!=""),"",OIT!#REF!-OIT!#REF!)</f>
        <v>#REF!</v>
      </c>
      <c r="M508" s="9" t="e">
        <f>IF(OR(OIT!#REF!="",OIT!#REF!=""),"",OIT!#REF!-OIT!#REF!)</f>
        <v>#REF!</v>
      </c>
      <c r="N508" s="9" t="e">
        <f>IF(OR(OIT!#REF!="",OIT!#REF!=""),"",OIT!#REF!-OIT!#REF!)</f>
        <v>#REF!</v>
      </c>
      <c r="O508" s="9">
        <f t="shared" si="28"/>
        <v>0</v>
      </c>
      <c r="P508" s="9">
        <f t="shared" si="29"/>
        <v>15341.99210356492</v>
      </c>
      <c r="Q508" s="9" t="str">
        <f t="shared" si="30"/>
        <v/>
      </c>
      <c r="R508" s="9">
        <f t="shared" si="31"/>
        <v>99446.956142927549</v>
      </c>
    </row>
    <row r="509" spans="1:18" ht="15.5">
      <c r="A509" s="7" t="s">
        <v>28</v>
      </c>
      <c r="B509" s="7" t="s">
        <v>29</v>
      </c>
      <c r="C509" s="8">
        <v>1993</v>
      </c>
      <c r="D509" s="9">
        <v>4.4537319999999996</v>
      </c>
      <c r="E509" s="9">
        <v>1.1217000484466599</v>
      </c>
      <c r="F509" s="9"/>
      <c r="G509" s="9">
        <v>1.77439212799072</v>
      </c>
      <c r="H509" s="9">
        <v>17172.462890625</v>
      </c>
      <c r="I509" s="9">
        <v>112092.796875</v>
      </c>
      <c r="J509" s="9">
        <v>1.03501689434052</v>
      </c>
      <c r="K509" s="9">
        <v>0.54150086641311701</v>
      </c>
      <c r="L509" s="9" t="e">
        <f>IF(OR(OIT!#REF!="",OIT!#REF!=""),"",OIT!#REF!-OIT!#REF!)</f>
        <v>#REF!</v>
      </c>
      <c r="M509" s="9" t="e">
        <f>IF(OR(OIT!#REF!="",OIT!#REF!=""),"",OIT!#REF!-OIT!#REF!)</f>
        <v>#REF!</v>
      </c>
      <c r="N509" s="9" t="e">
        <f>IF(OR(OIT!#REF!="",OIT!#REF!=""),"",OIT!#REF!-OIT!#REF!)</f>
        <v>#REF!</v>
      </c>
      <c r="O509" s="9">
        <f t="shared" si="28"/>
        <v>0</v>
      </c>
      <c r="P509" s="9">
        <f t="shared" si="29"/>
        <v>15309.318132245406</v>
      </c>
      <c r="Q509" s="9" t="str">
        <f t="shared" si="30"/>
        <v/>
      </c>
      <c r="R509" s="9">
        <f t="shared" si="31"/>
        <v>99931.168791716729</v>
      </c>
    </row>
    <row r="510" spans="1:18" ht="15.5">
      <c r="A510" s="7" t="s">
        <v>28</v>
      </c>
      <c r="B510" s="7" t="s">
        <v>29</v>
      </c>
      <c r="C510" s="8">
        <v>1994</v>
      </c>
      <c r="D510" s="9">
        <v>4.5493160000000001</v>
      </c>
      <c r="E510" s="9">
        <v>1.1765998601913501</v>
      </c>
      <c r="F510" s="9"/>
      <c r="G510" s="9">
        <v>1.7913348674774201</v>
      </c>
      <c r="H510" s="9">
        <v>17745.291015625</v>
      </c>
      <c r="I510" s="9">
        <v>113133.921875</v>
      </c>
      <c r="J510" s="9">
        <v>1.02754235267639</v>
      </c>
      <c r="K510" s="9">
        <v>0.54150086641311701</v>
      </c>
      <c r="L510" s="9" t="e">
        <f>IF(OR(OIT!#REF!="",OIT!#REF!=""),"",OIT!#REF!-OIT!#REF!)</f>
        <v>#REF!</v>
      </c>
      <c r="M510" s="9" t="e">
        <f>IF(OR(OIT!#REF!="",OIT!#REF!=""),"",OIT!#REF!-OIT!#REF!)</f>
        <v>#REF!</v>
      </c>
      <c r="N510" s="9" t="e">
        <f>IF(OR(OIT!#REF!="",OIT!#REF!=""),"",OIT!#REF!-OIT!#REF!)</f>
        <v>#REF!</v>
      </c>
      <c r="O510" s="9">
        <f t="shared" si="28"/>
        <v>0</v>
      </c>
      <c r="P510" s="9">
        <f t="shared" si="29"/>
        <v>15081.840153150357</v>
      </c>
      <c r="Q510" s="9" t="str">
        <f t="shared" si="30"/>
        <v/>
      </c>
      <c r="R510" s="9">
        <f t="shared" si="31"/>
        <v>96153.268160852123</v>
      </c>
    </row>
    <row r="511" spans="1:18" ht="15.5">
      <c r="A511" s="7" t="s">
        <v>28</v>
      </c>
      <c r="B511" s="7" t="s">
        <v>29</v>
      </c>
      <c r="C511" s="8">
        <v>1995</v>
      </c>
      <c r="D511" s="9">
        <v>4.6429309999999999</v>
      </c>
      <c r="E511" s="9">
        <v>1.22819995880127</v>
      </c>
      <c r="F511" s="9"/>
      <c r="G511" s="9">
        <v>1.80843937397003</v>
      </c>
      <c r="H511" s="9">
        <v>18794.50390625</v>
      </c>
      <c r="I511" s="9">
        <v>114432.8828125</v>
      </c>
      <c r="J511" s="9">
        <v>1.0502598285675</v>
      </c>
      <c r="K511" s="9">
        <v>0.54150086641311701</v>
      </c>
      <c r="L511" s="9" t="e">
        <f>IF(OR(OIT!#REF!="",OIT!#REF!=""),"",OIT!#REF!-OIT!#REF!)</f>
        <v>#REF!</v>
      </c>
      <c r="M511" s="9" t="e">
        <f>IF(OR(OIT!#REF!="",OIT!#REF!=""),"",OIT!#REF!-OIT!#REF!)</f>
        <v>#REF!</v>
      </c>
      <c r="N511" s="9" t="e">
        <f>IF(OR(OIT!#REF!="",OIT!#REF!=""),"",OIT!#REF!-OIT!#REF!)</f>
        <v>#REF!</v>
      </c>
      <c r="O511" s="9">
        <f t="shared" si="28"/>
        <v>0</v>
      </c>
      <c r="P511" s="9">
        <f t="shared" si="29"/>
        <v>15302.478860684494</v>
      </c>
      <c r="Q511" s="9" t="str">
        <f t="shared" si="30"/>
        <v/>
      </c>
      <c r="R511" s="9">
        <f t="shared" si="31"/>
        <v>93171.215315938563</v>
      </c>
    </row>
    <row r="512" spans="1:18" ht="15.5">
      <c r="A512" s="7" t="s">
        <v>28</v>
      </c>
      <c r="B512" s="7" t="s">
        <v>29</v>
      </c>
      <c r="C512" s="8">
        <v>1996</v>
      </c>
      <c r="D512" s="9">
        <v>4.7299740000000003</v>
      </c>
      <c r="E512" s="9">
        <v>1.2918000221252399</v>
      </c>
      <c r="F512" s="9"/>
      <c r="G512" s="9">
        <v>1.82754683494568</v>
      </c>
      <c r="H512" s="9">
        <v>19987.11328125</v>
      </c>
      <c r="I512" s="9">
        <v>116379.0703125</v>
      </c>
      <c r="J512" s="9">
        <v>1.0711033344268801</v>
      </c>
      <c r="K512" s="9">
        <v>0.54150086641311701</v>
      </c>
      <c r="L512" s="9" t="e">
        <f>IF(OR(OIT!#REF!="",OIT!#REF!=""),"",OIT!#REF!-OIT!#REF!)</f>
        <v>#REF!</v>
      </c>
      <c r="M512" s="9" t="e">
        <f>IF(OR(OIT!#REF!="",OIT!#REF!=""),"",OIT!#REF!-OIT!#REF!)</f>
        <v>#REF!</v>
      </c>
      <c r="N512" s="9" t="e">
        <f>IF(OR(OIT!#REF!="",OIT!#REF!=""),"",OIT!#REF!-OIT!#REF!)</f>
        <v>#REF!</v>
      </c>
      <c r="O512" s="9">
        <f t="shared" si="28"/>
        <v>0</v>
      </c>
      <c r="P512" s="9">
        <f t="shared" si="29"/>
        <v>15472.296747888004</v>
      </c>
      <c r="Q512" s="9" t="str">
        <f t="shared" si="30"/>
        <v/>
      </c>
      <c r="R512" s="9">
        <f t="shared" si="31"/>
        <v>90090.624182708882</v>
      </c>
    </row>
    <row r="513" spans="1:18" ht="15.5">
      <c r="A513" s="7" t="s">
        <v>28</v>
      </c>
      <c r="B513" s="7" t="s">
        <v>29</v>
      </c>
      <c r="C513" s="8">
        <v>1997</v>
      </c>
      <c r="D513" s="9">
        <v>4.8095730000000003</v>
      </c>
      <c r="E513" s="9">
        <v>1.36989998817444</v>
      </c>
      <c r="F513" s="9"/>
      <c r="G513" s="9">
        <v>1.84685611724854</v>
      </c>
      <c r="H513" s="9">
        <v>20779.931640625</v>
      </c>
      <c r="I513" s="9">
        <v>118967.96875</v>
      </c>
      <c r="J513" s="9">
        <v>1.0583770275116</v>
      </c>
      <c r="K513" s="9">
        <v>0.54150086641311701</v>
      </c>
      <c r="L513" s="9" t="e">
        <f>IF(OR(OIT!#REF!="",OIT!#REF!=""),"",OIT!#REF!-OIT!#REF!)</f>
        <v>#REF!</v>
      </c>
      <c r="M513" s="9" t="e">
        <f>IF(OR(OIT!#REF!="",OIT!#REF!=""),"",OIT!#REF!-OIT!#REF!)</f>
        <v>#REF!</v>
      </c>
      <c r="N513" s="9" t="e">
        <f>IF(OR(OIT!#REF!="",OIT!#REF!=""),"",OIT!#REF!-OIT!#REF!)</f>
        <v>#REF!</v>
      </c>
      <c r="O513" s="9">
        <f t="shared" si="28"/>
        <v>0</v>
      </c>
      <c r="P513" s="9">
        <f t="shared" si="29"/>
        <v>15168.940667206523</v>
      </c>
      <c r="Q513" s="9" t="str">
        <f t="shared" si="30"/>
        <v/>
      </c>
      <c r="R513" s="9">
        <f t="shared" si="31"/>
        <v>86844.273141822152</v>
      </c>
    </row>
    <row r="514" spans="1:18" ht="15.5">
      <c r="A514" s="7" t="s">
        <v>28</v>
      </c>
      <c r="B514" s="7" t="s">
        <v>29</v>
      </c>
      <c r="C514" s="8">
        <v>1998</v>
      </c>
      <c r="D514" s="9">
        <v>4.8836550000000001</v>
      </c>
      <c r="E514" s="9">
        <v>1.44179999828339</v>
      </c>
      <c r="F514" s="9"/>
      <c r="G514" s="9">
        <v>1.8663694858551001</v>
      </c>
      <c r="H514" s="9">
        <v>21551.21484375</v>
      </c>
      <c r="I514" s="9">
        <v>121909.7421875</v>
      </c>
      <c r="J514" s="9">
        <v>1.0450681447982799</v>
      </c>
      <c r="K514" s="9">
        <v>0.54150086641311701</v>
      </c>
      <c r="L514" s="9" t="e">
        <f>IF(OR(OIT!#REF!="",OIT!#REF!=""),"",OIT!#REF!-OIT!#REF!)</f>
        <v>#REF!</v>
      </c>
      <c r="M514" s="9" t="e">
        <f>IF(OR(OIT!#REF!="",OIT!#REF!=""),"",OIT!#REF!-OIT!#REF!)</f>
        <v>#REF!</v>
      </c>
      <c r="N514" s="9" t="e">
        <f>IF(OR(OIT!#REF!="",OIT!#REF!=""),"",OIT!#REF!-OIT!#REF!)</f>
        <v>#REF!</v>
      </c>
      <c r="O514" s="9">
        <f t="shared" ref="O514:O577" si="32">IFERROR(E514*F514,"")</f>
        <v>0</v>
      </c>
      <c r="P514" s="9">
        <f t="shared" ref="P514:P577" si="33">IFERROR(H514/E514,"")</f>
        <v>14947.437140663698</v>
      </c>
      <c r="Q514" s="9" t="str">
        <f t="shared" ref="Q514:Q577" si="34">IFERROR(H514/(E514*F514),"")</f>
        <v/>
      </c>
      <c r="R514" s="9">
        <f t="shared" ref="R514:R577" si="35">IFERROR(I514/E514,"")</f>
        <v>84553.850972843662</v>
      </c>
    </row>
    <row r="515" spans="1:18" ht="15.5">
      <c r="A515" s="7" t="s">
        <v>28</v>
      </c>
      <c r="B515" s="7" t="s">
        <v>29</v>
      </c>
      <c r="C515" s="8">
        <v>1999</v>
      </c>
      <c r="D515" s="9">
        <v>4.9540179999999996</v>
      </c>
      <c r="E515" s="9">
        <v>1.54419994354248</v>
      </c>
      <c r="F515" s="9"/>
      <c r="G515" s="9">
        <v>1.8860889673232999</v>
      </c>
      <c r="H515" s="9">
        <v>23067.5546875</v>
      </c>
      <c r="I515" s="9">
        <v>127324.9453125</v>
      </c>
      <c r="J515" s="9">
        <v>1.04852831363678</v>
      </c>
      <c r="K515" s="9">
        <v>0.54150086641311701</v>
      </c>
      <c r="L515" s="9" t="e">
        <f>IF(OR(OIT!#REF!="",OIT!#REF!=""),"",OIT!#REF!-OIT!#REF!)</f>
        <v>#REF!</v>
      </c>
      <c r="M515" s="9" t="e">
        <f>IF(OR(OIT!#REF!="",OIT!#REF!=""),"",OIT!#REF!-OIT!#REF!)</f>
        <v>#REF!</v>
      </c>
      <c r="N515" s="9" t="e">
        <f>IF(OR(OIT!#REF!="",OIT!#REF!=""),"",OIT!#REF!-OIT!#REF!)</f>
        <v>#REF!</v>
      </c>
      <c r="O515" s="9">
        <f t="shared" si="32"/>
        <v>0</v>
      </c>
      <c r="P515" s="9">
        <f t="shared" si="33"/>
        <v>14938.191640249484</v>
      </c>
      <c r="Q515" s="9" t="str">
        <f t="shared" si="34"/>
        <v/>
      </c>
      <c r="R515" s="9">
        <f t="shared" si="35"/>
        <v>82453.66530736268</v>
      </c>
    </row>
    <row r="516" spans="1:18" ht="15.5">
      <c r="A516" s="7" t="s">
        <v>28</v>
      </c>
      <c r="B516" s="7" t="s">
        <v>29</v>
      </c>
      <c r="C516" s="8">
        <v>2000</v>
      </c>
      <c r="D516" s="9">
        <v>5.0226329999999999</v>
      </c>
      <c r="E516" s="9">
        <v>1.6370999813079801</v>
      </c>
      <c r="F516" s="9"/>
      <c r="G516" s="9">
        <v>1.90601670742035</v>
      </c>
      <c r="H516" s="9">
        <v>24013.69140625</v>
      </c>
      <c r="I516" s="9">
        <v>131472.90625</v>
      </c>
      <c r="J516" s="9">
        <v>1.0352315902710001</v>
      </c>
      <c r="K516" s="9">
        <v>0.54150086641311701</v>
      </c>
      <c r="L516" s="9" t="e">
        <f>IF(OR(OIT!#REF!="",OIT!#REF!=""),"",OIT!#REF!-OIT!#REF!)</f>
        <v>#REF!</v>
      </c>
      <c r="M516" s="9" t="e">
        <f>IF(OR(OIT!#REF!="",OIT!#REF!=""),"",OIT!#REF!-OIT!#REF!)</f>
        <v>#REF!</v>
      </c>
      <c r="N516" s="9" t="e">
        <f>IF(OR(OIT!#REF!="",OIT!#REF!=""),"",OIT!#REF!-OIT!#REF!)</f>
        <v>#REF!</v>
      </c>
      <c r="O516" s="9">
        <f t="shared" si="32"/>
        <v>0</v>
      </c>
      <c r="P516" s="9">
        <f t="shared" si="33"/>
        <v>14668.433009854403</v>
      </c>
      <c r="Q516" s="9" t="str">
        <f t="shared" si="34"/>
        <v/>
      </c>
      <c r="R516" s="9">
        <f t="shared" si="35"/>
        <v>80308.415949622198</v>
      </c>
    </row>
    <row r="517" spans="1:18" ht="15.5">
      <c r="A517" s="7" t="s">
        <v>28</v>
      </c>
      <c r="B517" s="7" t="s">
        <v>29</v>
      </c>
      <c r="C517" s="8">
        <v>2001</v>
      </c>
      <c r="D517" s="9">
        <v>5.0878249999999996</v>
      </c>
      <c r="E517" s="9">
        <v>1.68517434597015</v>
      </c>
      <c r="F517" s="9"/>
      <c r="G517" s="9">
        <v>1.9206955432891799</v>
      </c>
      <c r="H517" s="9">
        <v>24724.69921875</v>
      </c>
      <c r="I517" s="9">
        <v>135032.90625</v>
      </c>
      <c r="J517" s="9">
        <v>1.03851759433746</v>
      </c>
      <c r="K517" s="9">
        <v>0.54150086641311701</v>
      </c>
      <c r="L517" s="9" t="e">
        <f>IF(OR(OIT!#REF!="",OIT!#REF!=""),"",OIT!#REF!-OIT!#REF!)</f>
        <v>#REF!</v>
      </c>
      <c r="M517" s="9" t="e">
        <f>IF(OR(OIT!#REF!="",OIT!#REF!=""),"",OIT!#REF!-OIT!#REF!)</f>
        <v>#REF!</v>
      </c>
      <c r="N517" s="9" t="e">
        <f>IF(OR(OIT!#REF!="",OIT!#REF!=""),"",OIT!#REF!-OIT!#REF!)</f>
        <v>#REF!</v>
      </c>
      <c r="O517" s="9">
        <f t="shared" si="32"/>
        <v>0</v>
      </c>
      <c r="P517" s="9">
        <f t="shared" si="33"/>
        <v>14671.893906927513</v>
      </c>
      <c r="Q517" s="9" t="str">
        <f t="shared" si="34"/>
        <v/>
      </c>
      <c r="R517" s="9">
        <f t="shared" si="35"/>
        <v>80129.932296270475</v>
      </c>
    </row>
    <row r="518" spans="1:18" ht="15.5">
      <c r="A518" s="7" t="s">
        <v>28</v>
      </c>
      <c r="B518" s="7" t="s">
        <v>29</v>
      </c>
      <c r="C518" s="8">
        <v>2002</v>
      </c>
      <c r="D518" s="9">
        <v>5.1499090000000001</v>
      </c>
      <c r="E518" s="9">
        <v>1.7280458211898799</v>
      </c>
      <c r="F518" s="9"/>
      <c r="G518" s="9">
        <v>1.9354873895645099</v>
      </c>
      <c r="H518" s="9">
        <v>24911.107421875</v>
      </c>
      <c r="I518" s="9">
        <v>137966.625</v>
      </c>
      <c r="J518" s="9">
        <v>1.02160739898682</v>
      </c>
      <c r="K518" s="9">
        <v>0.54150086641311701</v>
      </c>
      <c r="L518" s="9" t="e">
        <f>IF(OR(OIT!#REF!="",OIT!#REF!=""),"",OIT!#REF!-OIT!#REF!)</f>
        <v>#REF!</v>
      </c>
      <c r="M518" s="9" t="e">
        <f>IF(OR(OIT!#REF!="",OIT!#REF!=""),"",OIT!#REF!-OIT!#REF!)</f>
        <v>#REF!</v>
      </c>
      <c r="N518" s="9" t="e">
        <f>IF(OR(OIT!#REF!="",OIT!#REF!=""),"",OIT!#REF!-OIT!#REF!)</f>
        <v>#REF!</v>
      </c>
      <c r="O518" s="9">
        <f t="shared" si="32"/>
        <v>0</v>
      </c>
      <c r="P518" s="9">
        <f t="shared" si="33"/>
        <v>14415.767867036053</v>
      </c>
      <c r="Q518" s="9" t="str">
        <f t="shared" si="34"/>
        <v/>
      </c>
      <c r="R518" s="9">
        <f t="shared" si="35"/>
        <v>79839.679774810807</v>
      </c>
    </row>
    <row r="519" spans="1:18" ht="15.5">
      <c r="A519" s="7" t="s">
        <v>28</v>
      </c>
      <c r="B519" s="7" t="s">
        <v>29</v>
      </c>
      <c r="C519" s="8">
        <v>2003</v>
      </c>
      <c r="D519" s="9">
        <v>5.2109629999999996</v>
      </c>
      <c r="E519" s="9">
        <v>1.7750979661941499</v>
      </c>
      <c r="F519" s="9"/>
      <c r="G519" s="9">
        <v>1.9503931999206501</v>
      </c>
      <c r="H519" s="9">
        <v>25539.05078125</v>
      </c>
      <c r="I519" s="9">
        <v>140867.75</v>
      </c>
      <c r="J519" s="9">
        <v>1.01980876922607</v>
      </c>
      <c r="K519" s="9">
        <v>0.54150086641311701</v>
      </c>
      <c r="L519" s="9" t="e">
        <f>IF(OR(OIT!#REF!="",OIT!#REF!=""),"",OIT!#REF!-OIT!#REF!)</f>
        <v>#REF!</v>
      </c>
      <c r="M519" s="9" t="e">
        <f>IF(OR(OIT!#REF!="",OIT!#REF!=""),"",OIT!#REF!-OIT!#REF!)</f>
        <v>#REF!</v>
      </c>
      <c r="N519" s="9" t="e">
        <f>IF(OR(OIT!#REF!="",OIT!#REF!=""),"",OIT!#REF!-OIT!#REF!)</f>
        <v>#REF!</v>
      </c>
      <c r="O519" s="9">
        <f t="shared" si="32"/>
        <v>0</v>
      </c>
      <c r="P519" s="9">
        <f t="shared" si="33"/>
        <v>14387.403550467865</v>
      </c>
      <c r="Q519" s="9" t="str">
        <f t="shared" si="34"/>
        <v/>
      </c>
      <c r="R519" s="9">
        <f t="shared" si="35"/>
        <v>79357.732746448717</v>
      </c>
    </row>
    <row r="520" spans="1:18" ht="15.5">
      <c r="A520" s="7" t="s">
        <v>28</v>
      </c>
      <c r="B520" s="7" t="s">
        <v>29</v>
      </c>
      <c r="C520" s="8">
        <v>2004</v>
      </c>
      <c r="D520" s="9">
        <v>5.2729119999999998</v>
      </c>
      <c r="E520" s="9">
        <v>1.8476804494857799</v>
      </c>
      <c r="F520" s="9"/>
      <c r="G520" s="9">
        <v>1.9654138088226301</v>
      </c>
      <c r="H520" s="9">
        <v>26895.73046875</v>
      </c>
      <c r="I520" s="9">
        <v>144186.125</v>
      </c>
      <c r="J520" s="9">
        <v>1.0330457687377901</v>
      </c>
      <c r="K520" s="9">
        <v>0.54150086641311701</v>
      </c>
      <c r="L520" s="9" t="e">
        <f>IF(OR(OIT!#REF!="",OIT!#REF!=""),"",OIT!#REF!-OIT!#REF!)</f>
        <v>#REF!</v>
      </c>
      <c r="M520" s="9" t="e">
        <f>IF(OR(OIT!#REF!="",OIT!#REF!=""),"",OIT!#REF!-OIT!#REF!)</f>
        <v>#REF!</v>
      </c>
      <c r="N520" s="9" t="e">
        <f>IF(OR(OIT!#REF!="",OIT!#REF!=""),"",OIT!#REF!-OIT!#REF!)</f>
        <v>#REF!</v>
      </c>
      <c r="O520" s="9">
        <f t="shared" si="32"/>
        <v>0</v>
      </c>
      <c r="P520" s="9">
        <f t="shared" si="33"/>
        <v>14556.483766570804</v>
      </c>
      <c r="Q520" s="9" t="str">
        <f t="shared" si="34"/>
        <v/>
      </c>
      <c r="R520" s="9">
        <f t="shared" si="35"/>
        <v>78036.288710056891</v>
      </c>
    </row>
    <row r="521" spans="1:18" ht="15.5">
      <c r="A521" s="7" t="s">
        <v>28</v>
      </c>
      <c r="B521" s="7" t="s">
        <v>29</v>
      </c>
      <c r="C521" s="8">
        <v>2005</v>
      </c>
      <c r="D521" s="9">
        <v>5.3421050000000001</v>
      </c>
      <c r="E521" s="9">
        <v>1.9210406541824301</v>
      </c>
      <c r="F521" s="9"/>
      <c r="G521" s="9">
        <v>1.9805499315261801</v>
      </c>
      <c r="H521" s="9">
        <v>28047.509765625</v>
      </c>
      <c r="I521" s="9">
        <v>148186.328125</v>
      </c>
      <c r="J521" s="9">
        <v>1.0348476171493499</v>
      </c>
      <c r="K521" s="9">
        <v>0.54150086641311701</v>
      </c>
      <c r="L521" s="9" t="e">
        <f>IF(OR(OIT!#REF!="",OIT!#REF!=""),"",OIT!#REF!-OIT!#REF!)</f>
        <v>#REF!</v>
      </c>
      <c r="M521" s="9" t="e">
        <f>IF(OR(OIT!#REF!="",OIT!#REF!=""),"",OIT!#REF!-OIT!#REF!)</f>
        <v>#REF!</v>
      </c>
      <c r="N521" s="9" t="e">
        <f>IF(OR(OIT!#REF!="",OIT!#REF!=""),"",OIT!#REF!-OIT!#REF!)</f>
        <v>#REF!</v>
      </c>
      <c r="O521" s="9">
        <f t="shared" si="32"/>
        <v>0</v>
      </c>
      <c r="P521" s="9">
        <f t="shared" si="33"/>
        <v>14600.16460586653</v>
      </c>
      <c r="Q521" s="9" t="str">
        <f t="shared" si="34"/>
        <v/>
      </c>
      <c r="R521" s="9">
        <f t="shared" si="35"/>
        <v>77138.569557272684</v>
      </c>
    </row>
    <row r="522" spans="1:18" ht="15.5">
      <c r="A522" s="7" t="s">
        <v>28</v>
      </c>
      <c r="B522" s="7" t="s">
        <v>29</v>
      </c>
      <c r="C522" s="8">
        <v>2006</v>
      </c>
      <c r="D522" s="9">
        <v>5.4188549999999998</v>
      </c>
      <c r="E522" s="9">
        <v>1.97849988937378</v>
      </c>
      <c r="F522" s="9"/>
      <c r="G522" s="9">
        <v>2.0021314620971702</v>
      </c>
      <c r="H522" s="9">
        <v>29212.0625</v>
      </c>
      <c r="I522" s="9">
        <v>152218.125</v>
      </c>
      <c r="J522" s="9">
        <v>1.03715491294861</v>
      </c>
      <c r="K522" s="9">
        <v>0.54150086641311701</v>
      </c>
      <c r="L522" s="9" t="e">
        <f>IF(OR(OIT!#REF!="",OIT!#REF!=""),"",OIT!#REF!-OIT!#REF!)</f>
        <v>#REF!</v>
      </c>
      <c r="M522" s="9" t="e">
        <f>IF(OR(OIT!#REF!="",OIT!#REF!=""),"",OIT!#REF!-OIT!#REF!)</f>
        <v>#REF!</v>
      </c>
      <c r="N522" s="9" t="e">
        <f>IF(OR(OIT!#REF!="",OIT!#REF!=""),"",OIT!#REF!-OIT!#REF!)</f>
        <v>#REF!</v>
      </c>
      <c r="O522" s="9">
        <f t="shared" si="32"/>
        <v>0</v>
      </c>
      <c r="P522" s="9">
        <f t="shared" si="33"/>
        <v>14764.753163188694</v>
      </c>
      <c r="Q522" s="9" t="str">
        <f t="shared" si="34"/>
        <v/>
      </c>
      <c r="R522" s="9">
        <f t="shared" si="35"/>
        <v>76936.130154740094</v>
      </c>
    </row>
    <row r="523" spans="1:18" ht="15.5">
      <c r="A523" s="7" t="s">
        <v>28</v>
      </c>
      <c r="B523" s="7" t="s">
        <v>29</v>
      </c>
      <c r="C523" s="8">
        <v>2007</v>
      </c>
      <c r="D523" s="9">
        <v>5.4972430000000001</v>
      </c>
      <c r="E523" s="9">
        <v>2.0460021495819101</v>
      </c>
      <c r="F523" s="9"/>
      <c r="G523" s="9">
        <v>2.0239484310150102</v>
      </c>
      <c r="H523" s="9">
        <v>30694.96875</v>
      </c>
      <c r="I523" s="9">
        <v>157201.578125</v>
      </c>
      <c r="J523" s="9">
        <v>1.0440702438354501</v>
      </c>
      <c r="K523" s="9">
        <v>0.54519307613372803</v>
      </c>
      <c r="L523" s="9" t="e">
        <f>IF(OR(OIT!#REF!="",OIT!#REF!=""),"",OIT!#REF!-OIT!#REF!)</f>
        <v>#REF!</v>
      </c>
      <c r="M523" s="9" t="e">
        <f>IF(OR(OIT!#REF!="",OIT!#REF!=""),"",OIT!#REF!-OIT!#REF!)</f>
        <v>#REF!</v>
      </c>
      <c r="N523" s="9" t="e">
        <f>IF(OR(OIT!#REF!="",OIT!#REF!=""),"",OIT!#REF!-OIT!#REF!)</f>
        <v>#REF!</v>
      </c>
      <c r="O523" s="9">
        <f t="shared" si="32"/>
        <v>0</v>
      </c>
      <c r="P523" s="9">
        <f t="shared" si="33"/>
        <v>15002.41275712851</v>
      </c>
      <c r="Q523" s="9" t="str">
        <f t="shared" si="34"/>
        <v/>
      </c>
      <c r="R523" s="9">
        <f t="shared" si="35"/>
        <v>76833.535173520388</v>
      </c>
    </row>
    <row r="524" spans="1:18" ht="15.5">
      <c r="A524" s="7" t="s">
        <v>28</v>
      </c>
      <c r="B524" s="7" t="s">
        <v>29</v>
      </c>
      <c r="C524" s="8">
        <v>2008</v>
      </c>
      <c r="D524" s="9">
        <v>5.5765929999999999</v>
      </c>
      <c r="E524" s="9">
        <v>2.0776946544647199</v>
      </c>
      <c r="F524" s="9"/>
      <c r="G524" s="9">
        <v>2.04600286483765</v>
      </c>
      <c r="H524" s="9">
        <v>31749.5625</v>
      </c>
      <c r="I524" s="9">
        <v>162879.984375</v>
      </c>
      <c r="J524" s="9">
        <v>1.05124735832214</v>
      </c>
      <c r="K524" s="9">
        <v>0.553294658660889</v>
      </c>
      <c r="L524" s="9" t="e">
        <f>IF(OR(OIT!#REF!="",OIT!#REF!=""),"",OIT!#REF!-OIT!#REF!)</f>
        <v>#REF!</v>
      </c>
      <c r="M524" s="9" t="e">
        <f>IF(OR(OIT!#REF!="",OIT!#REF!=""),"",OIT!#REF!-OIT!#REF!)</f>
        <v>#REF!</v>
      </c>
      <c r="N524" s="9" t="e">
        <f>IF(OR(OIT!#REF!="",OIT!#REF!=""),"",OIT!#REF!-OIT!#REF!)</f>
        <v>#REF!</v>
      </c>
      <c r="O524" s="9">
        <f t="shared" si="32"/>
        <v>0</v>
      </c>
      <c r="P524" s="9">
        <f t="shared" si="33"/>
        <v>15281.149437321768</v>
      </c>
      <c r="Q524" s="9" t="str">
        <f t="shared" si="34"/>
        <v/>
      </c>
      <c r="R524" s="9">
        <f t="shared" si="35"/>
        <v>78394.572573496393</v>
      </c>
    </row>
    <row r="525" spans="1:18" ht="15.5">
      <c r="A525" s="7" t="s">
        <v>28</v>
      </c>
      <c r="B525" s="7" t="s">
        <v>29</v>
      </c>
      <c r="C525" s="8">
        <v>2009</v>
      </c>
      <c r="D525" s="9">
        <v>5.6566010000000002</v>
      </c>
      <c r="E525" s="9">
        <v>2.0944015979766801</v>
      </c>
      <c r="F525" s="9"/>
      <c r="G525" s="9">
        <v>2.06829762458801</v>
      </c>
      <c r="H525" s="9">
        <v>30704.154296875</v>
      </c>
      <c r="I525" s="9">
        <v>165523.640625</v>
      </c>
      <c r="J525" s="9">
        <v>1.01217472553253</v>
      </c>
      <c r="K525" s="9">
        <v>0.54440677165985096</v>
      </c>
      <c r="L525" s="9" t="e">
        <f>IF(OR(OIT!#REF!="",OIT!#REF!=""),"",OIT!#REF!-OIT!#REF!)</f>
        <v>#REF!</v>
      </c>
      <c r="M525" s="9" t="e">
        <f>IF(OR(OIT!#REF!="",OIT!#REF!=""),"",OIT!#REF!-OIT!#REF!)</f>
        <v>#REF!</v>
      </c>
      <c r="N525" s="9" t="e">
        <f>IF(OR(OIT!#REF!="",OIT!#REF!=""),"",OIT!#REF!-OIT!#REF!)</f>
        <v>#REF!</v>
      </c>
      <c r="O525" s="9">
        <f t="shared" si="32"/>
        <v>0</v>
      </c>
      <c r="P525" s="9">
        <f t="shared" si="33"/>
        <v>14660.108322366201</v>
      </c>
      <c r="Q525" s="9" t="str">
        <f t="shared" si="34"/>
        <v/>
      </c>
      <c r="R525" s="9">
        <f t="shared" si="35"/>
        <v>79031.471702898794</v>
      </c>
    </row>
    <row r="526" spans="1:18" ht="15.5">
      <c r="A526" s="7" t="s">
        <v>28</v>
      </c>
      <c r="B526" s="7" t="s">
        <v>29</v>
      </c>
      <c r="C526" s="8">
        <v>2010</v>
      </c>
      <c r="D526" s="9">
        <v>5.7374499999999999</v>
      </c>
      <c r="E526" s="9">
        <v>2.1633317470550502</v>
      </c>
      <c r="F526" s="9"/>
      <c r="G526" s="9">
        <v>2.0908353328704798</v>
      </c>
      <c r="H526" s="9">
        <v>32058.236328125</v>
      </c>
      <c r="I526" s="9">
        <v>168729.3125</v>
      </c>
      <c r="J526" s="9">
        <v>1.0170029401779199</v>
      </c>
      <c r="K526" s="9">
        <v>0.54512405395507801</v>
      </c>
      <c r="L526" s="9" t="e">
        <f>IF(OR(OIT!#REF!="",OIT!#REF!=""),"",OIT!#REF!-OIT!#REF!)</f>
        <v>#REF!</v>
      </c>
      <c r="M526" s="9" t="e">
        <f>IF(OR(OIT!#REF!="",OIT!#REF!=""),"",OIT!#REF!-OIT!#REF!)</f>
        <v>#REF!</v>
      </c>
      <c r="N526" s="9" t="e">
        <f>IF(OR(OIT!#REF!="",OIT!#REF!=""),"",OIT!#REF!-OIT!#REF!)</f>
        <v>#REF!</v>
      </c>
      <c r="O526" s="9">
        <f t="shared" si="32"/>
        <v>0</v>
      </c>
      <c r="P526" s="9">
        <f t="shared" si="33"/>
        <v>14818.9182596548</v>
      </c>
      <c r="Q526" s="9" t="str">
        <f t="shared" si="34"/>
        <v/>
      </c>
      <c r="R526" s="9">
        <f t="shared" si="35"/>
        <v>77995.116897670319</v>
      </c>
    </row>
    <row r="527" spans="1:18" ht="15.5">
      <c r="A527" s="7" t="s">
        <v>28</v>
      </c>
      <c r="B527" s="7" t="s">
        <v>29</v>
      </c>
      <c r="C527" s="8">
        <v>2011</v>
      </c>
      <c r="D527" s="9">
        <v>5.819051</v>
      </c>
      <c r="E527" s="9">
        <v>2.25479936599731</v>
      </c>
      <c r="F527" s="9"/>
      <c r="G527" s="9">
        <v>2.11170601844788</v>
      </c>
      <c r="H527" s="9">
        <v>34083.25</v>
      </c>
      <c r="I527" s="9">
        <v>173767.9375</v>
      </c>
      <c r="J527" s="9">
        <v>1.02981865406036</v>
      </c>
      <c r="K527" s="9">
        <v>0.55304908752441395</v>
      </c>
      <c r="L527" s="9" t="e">
        <f>IF(OR(OIT!#REF!="",OIT!#REF!=""),"",OIT!#REF!-OIT!#REF!)</f>
        <v>#REF!</v>
      </c>
      <c r="M527" s="9" t="e">
        <f>IF(OR(OIT!#REF!="",OIT!#REF!=""),"",OIT!#REF!-OIT!#REF!)</f>
        <v>#REF!</v>
      </c>
      <c r="N527" s="9" t="e">
        <f>IF(OR(OIT!#REF!="",OIT!#REF!=""),"",OIT!#REF!-OIT!#REF!)</f>
        <v>#REF!</v>
      </c>
      <c r="O527" s="9">
        <f t="shared" si="32"/>
        <v>0</v>
      </c>
      <c r="P527" s="9">
        <f t="shared" si="33"/>
        <v>15115.86818498363</v>
      </c>
      <c r="Q527" s="9" t="str">
        <f t="shared" si="34"/>
        <v/>
      </c>
      <c r="R527" s="9">
        <f t="shared" si="35"/>
        <v>77065.809100554499</v>
      </c>
    </row>
    <row r="528" spans="1:18" ht="15.5">
      <c r="A528" s="7" t="s">
        <v>28</v>
      </c>
      <c r="B528" s="7" t="s">
        <v>29</v>
      </c>
      <c r="C528" s="8">
        <v>2012</v>
      </c>
      <c r="D528" s="9">
        <v>5.9012869999999999</v>
      </c>
      <c r="E528" s="9">
        <v>2.3526451587677002</v>
      </c>
      <c r="F528" s="9"/>
      <c r="G528" s="9">
        <v>2.1327850818634002</v>
      </c>
      <c r="H528" s="9">
        <v>36297.3515625</v>
      </c>
      <c r="I528" s="9">
        <v>180837.234375</v>
      </c>
      <c r="J528" s="9">
        <v>1.03991055488586</v>
      </c>
      <c r="K528" s="9">
        <v>0.55284911394119296</v>
      </c>
      <c r="L528" s="9" t="e">
        <f>IF(OR(OIT!#REF!="",OIT!#REF!=""),"",OIT!#REF!-OIT!#REF!)</f>
        <v>#REF!</v>
      </c>
      <c r="M528" s="9" t="e">
        <f>IF(OR(OIT!#REF!="",OIT!#REF!=""),"",OIT!#REF!-OIT!#REF!)</f>
        <v>#REF!</v>
      </c>
      <c r="N528" s="9" t="e">
        <f>IF(OR(OIT!#REF!="",OIT!#REF!=""),"",OIT!#REF!-OIT!#REF!)</f>
        <v>#REF!</v>
      </c>
      <c r="O528" s="9">
        <f t="shared" si="32"/>
        <v>0</v>
      </c>
      <c r="P528" s="9">
        <f t="shared" si="33"/>
        <v>15428.315412219798</v>
      </c>
      <c r="Q528" s="9" t="str">
        <f t="shared" si="34"/>
        <v/>
      </c>
      <c r="R528" s="9">
        <f t="shared" si="35"/>
        <v>76865.494866944297</v>
      </c>
    </row>
    <row r="529" spans="1:18" ht="15.5">
      <c r="A529" s="7" t="s">
        <v>28</v>
      </c>
      <c r="B529" s="7" t="s">
        <v>29</v>
      </c>
      <c r="C529" s="8">
        <v>2013</v>
      </c>
      <c r="D529" s="9">
        <v>5.9838449999999996</v>
      </c>
      <c r="E529" s="9">
        <v>2.4144737720489502</v>
      </c>
      <c r="F529" s="9"/>
      <c r="G529" s="9">
        <v>2.1540744304657</v>
      </c>
      <c r="H529" s="9">
        <v>38085.7578125</v>
      </c>
      <c r="I529" s="9">
        <v>188217.8125</v>
      </c>
      <c r="J529" s="9">
        <v>1.0434638261795</v>
      </c>
      <c r="K529" s="9">
        <v>0.55715626478195202</v>
      </c>
      <c r="L529" s="9" t="e">
        <f>IF(OR(OIT!#REF!="",OIT!#REF!=""),"",OIT!#REF!-OIT!#REF!)</f>
        <v>#REF!</v>
      </c>
      <c r="M529" s="9" t="e">
        <f>IF(OR(OIT!#REF!="",OIT!#REF!=""),"",OIT!#REF!-OIT!#REF!)</f>
        <v>#REF!</v>
      </c>
      <c r="N529" s="9" t="e">
        <f>IF(OR(OIT!#REF!="",OIT!#REF!=""),"",OIT!#REF!-OIT!#REF!)</f>
        <v>#REF!</v>
      </c>
      <c r="O529" s="9">
        <f t="shared" si="32"/>
        <v>0</v>
      </c>
      <c r="P529" s="9">
        <f t="shared" si="33"/>
        <v>15773.937266744459</v>
      </c>
      <c r="Q529" s="9" t="str">
        <f t="shared" si="34"/>
        <v/>
      </c>
      <c r="R529" s="9">
        <f t="shared" si="35"/>
        <v>77953.968553684565</v>
      </c>
    </row>
    <row r="530" spans="1:18" ht="15.5">
      <c r="A530" s="7" t="s">
        <v>28</v>
      </c>
      <c r="B530" s="7" t="s">
        <v>29</v>
      </c>
      <c r="C530" s="8">
        <v>2014</v>
      </c>
      <c r="D530" s="9">
        <v>6.0664920000000002</v>
      </c>
      <c r="E530" s="9">
        <v>2.4978113174438499</v>
      </c>
      <c r="F530" s="9"/>
      <c r="G530" s="9">
        <v>2.17557644844055</v>
      </c>
      <c r="H530" s="9">
        <v>39908.3359375</v>
      </c>
      <c r="I530" s="9">
        <v>195677.828125</v>
      </c>
      <c r="J530" s="9">
        <v>1.0425262451171899</v>
      </c>
      <c r="K530" s="9">
        <v>0.55262380838394198</v>
      </c>
      <c r="L530" s="9" t="e">
        <f>IF(OR(OIT!#REF!="",OIT!#REF!=""),"",OIT!#REF!-OIT!#REF!)</f>
        <v>#REF!</v>
      </c>
      <c r="M530" s="9" t="e">
        <f>IF(OR(OIT!#REF!="",OIT!#REF!=""),"",OIT!#REF!-OIT!#REF!)</f>
        <v>#REF!</v>
      </c>
      <c r="N530" s="9" t="e">
        <f>IF(OR(OIT!#REF!="",OIT!#REF!=""),"",OIT!#REF!-OIT!#REF!)</f>
        <v>#REF!</v>
      </c>
      <c r="O530" s="9">
        <f t="shared" si="32"/>
        <v>0</v>
      </c>
      <c r="P530" s="9">
        <f t="shared" si="33"/>
        <v>15977.322089460478</v>
      </c>
      <c r="Q530" s="9" t="str">
        <f t="shared" si="34"/>
        <v/>
      </c>
      <c r="R530" s="9">
        <f t="shared" si="35"/>
        <v>78339.715557557836</v>
      </c>
    </row>
    <row r="531" spans="1:18" ht="15.5">
      <c r="A531" s="7" t="s">
        <v>28</v>
      </c>
      <c r="B531" s="7" t="s">
        <v>29</v>
      </c>
      <c r="C531" s="8">
        <v>2015</v>
      </c>
      <c r="D531" s="9">
        <v>6.1494169999999997</v>
      </c>
      <c r="E531" s="9">
        <v>2.5496082305908199</v>
      </c>
      <c r="F531" s="9"/>
      <c r="G531" s="9">
        <v>2.1972930431365998</v>
      </c>
      <c r="H531" s="9">
        <v>41820.84765625</v>
      </c>
      <c r="I531" s="9">
        <v>205239.640625</v>
      </c>
      <c r="J531" s="9">
        <v>1.0425451993942301</v>
      </c>
      <c r="K531" s="9">
        <v>0.53725200891494795</v>
      </c>
      <c r="L531" s="9" t="e">
        <f>IF(OR(OIT!#REF!="",OIT!#REF!=""),"",OIT!#REF!-OIT!#REF!)</f>
        <v>#REF!</v>
      </c>
      <c r="M531" s="9" t="e">
        <f>IF(OR(OIT!#REF!="",OIT!#REF!=""),"",OIT!#REF!-OIT!#REF!)</f>
        <v>#REF!</v>
      </c>
      <c r="N531" s="9" t="e">
        <f>IF(OR(OIT!#REF!="",OIT!#REF!=""),"",OIT!#REF!-OIT!#REF!)</f>
        <v>#REF!</v>
      </c>
      <c r="O531" s="9">
        <f t="shared" si="32"/>
        <v>0</v>
      </c>
      <c r="P531" s="9">
        <f t="shared" si="33"/>
        <v>16402.852467478453</v>
      </c>
      <c r="Q531" s="9" t="str">
        <f t="shared" si="34"/>
        <v/>
      </c>
      <c r="R531" s="9">
        <f t="shared" si="35"/>
        <v>80498.500970652996</v>
      </c>
    </row>
    <row r="532" spans="1:18" ht="15.5">
      <c r="A532" s="7" t="s">
        <v>28</v>
      </c>
      <c r="B532" s="7" t="s">
        <v>29</v>
      </c>
      <c r="C532" s="8">
        <v>2016</v>
      </c>
      <c r="D532" s="9">
        <v>6.232666</v>
      </c>
      <c r="E532" s="9">
        <v>2.6276400089263898</v>
      </c>
      <c r="F532" s="9"/>
      <c r="G532" s="9">
        <v>2.2192263603210498</v>
      </c>
      <c r="H532" s="9">
        <v>43729.19921875</v>
      </c>
      <c r="I532" s="9">
        <v>214545.84375</v>
      </c>
      <c r="J532" s="9">
        <v>1.04314172267914</v>
      </c>
      <c r="K532" s="9">
        <v>0.52773427963256803</v>
      </c>
      <c r="L532" s="9" t="e">
        <f>IF(OR(OIT!#REF!="",OIT!#REF!=""),"",OIT!#REF!-OIT!#REF!)</f>
        <v>#REF!</v>
      </c>
      <c r="M532" s="9" t="e">
        <f>IF(OR(OIT!#REF!="",OIT!#REF!=""),"",OIT!#REF!-OIT!#REF!)</f>
        <v>#REF!</v>
      </c>
      <c r="N532" s="9" t="e">
        <f>IF(OR(OIT!#REF!="",OIT!#REF!=""),"",OIT!#REF!-OIT!#REF!)</f>
        <v>#REF!</v>
      </c>
      <c r="O532" s="9">
        <f t="shared" si="32"/>
        <v>0</v>
      </c>
      <c r="P532" s="9">
        <f t="shared" si="33"/>
        <v>16642.005400358106</v>
      </c>
      <c r="Q532" s="9" t="str">
        <f t="shared" si="34"/>
        <v/>
      </c>
      <c r="R532" s="9">
        <f t="shared" si="35"/>
        <v>81649.63351949412</v>
      </c>
    </row>
    <row r="533" spans="1:18" ht="15.5">
      <c r="A533" s="7" t="s">
        <v>28</v>
      </c>
      <c r="B533" s="7" t="s">
        <v>29</v>
      </c>
      <c r="C533" s="8">
        <v>2017</v>
      </c>
      <c r="D533" s="9">
        <v>6.3162310000000002</v>
      </c>
      <c r="E533" s="9">
        <v>2.7013583183288601</v>
      </c>
      <c r="F533" s="9"/>
      <c r="G533" s="9">
        <v>2.2413785457611102</v>
      </c>
      <c r="H533" s="9">
        <v>45754.38671875</v>
      </c>
      <c r="I533" s="9">
        <v>223738.265625</v>
      </c>
      <c r="J533" s="9">
        <v>1.0479817390441899</v>
      </c>
      <c r="K533" s="9">
        <v>0.52154022455215499</v>
      </c>
      <c r="L533" s="9" t="e">
        <f>IF(OR(OIT!#REF!="",OIT!#REF!=""),"",OIT!#REF!-OIT!#REF!)</f>
        <v>#REF!</v>
      </c>
      <c r="M533" s="9" t="e">
        <f>IF(OR(OIT!#REF!="",OIT!#REF!=""),"",OIT!#REF!-OIT!#REF!)</f>
        <v>#REF!</v>
      </c>
      <c r="N533" s="9" t="e">
        <f>IF(OR(OIT!#REF!="",OIT!#REF!=""),"",OIT!#REF!-OIT!#REF!)</f>
        <v>#REF!</v>
      </c>
      <c r="O533" s="9">
        <f t="shared" si="32"/>
        <v>0</v>
      </c>
      <c r="P533" s="9">
        <f t="shared" si="33"/>
        <v>16937.548198735447</v>
      </c>
      <c r="Q533" s="9" t="str">
        <f t="shared" si="34"/>
        <v/>
      </c>
      <c r="R533" s="9">
        <f t="shared" si="35"/>
        <v>82824.356956618431</v>
      </c>
    </row>
    <row r="534" spans="1:18" ht="15.5">
      <c r="A534" s="7" t="s">
        <v>28</v>
      </c>
      <c r="B534" s="7" t="s">
        <v>29</v>
      </c>
      <c r="C534" s="8">
        <v>2018</v>
      </c>
      <c r="D534" s="9">
        <v>6.40008</v>
      </c>
      <c r="E534" s="9">
        <v>2.6909346580505402</v>
      </c>
      <c r="F534" s="9"/>
      <c r="G534" s="9">
        <v>2.2637519836425799</v>
      </c>
      <c r="H534" s="9">
        <v>44215.5</v>
      </c>
      <c r="I534" s="9">
        <v>228603.671875</v>
      </c>
      <c r="J534" s="9">
        <v>0.99725818634033203</v>
      </c>
      <c r="K534" s="9">
        <v>0.52005988359451305</v>
      </c>
      <c r="L534" s="9" t="e">
        <f>IF(OR(OIT!#REF!="",OIT!#REF!=""),"",OIT!#REF!-OIT!#REF!)</f>
        <v>#REF!</v>
      </c>
      <c r="M534" s="9" t="e">
        <f>IF(OR(OIT!#REF!="",OIT!#REF!=""),"",OIT!#REF!-OIT!#REF!)</f>
        <v>#REF!</v>
      </c>
      <c r="N534" s="9" t="e">
        <f>IF(OR(OIT!#REF!="",OIT!#REF!=""),"",OIT!#REF!-OIT!#REF!)</f>
        <v>#REF!</v>
      </c>
      <c r="O534" s="9">
        <f t="shared" si="32"/>
        <v>0</v>
      </c>
      <c r="P534" s="9">
        <f t="shared" si="33"/>
        <v>16431.279692250915</v>
      </c>
      <c r="Q534" s="9" t="str">
        <f t="shared" si="34"/>
        <v/>
      </c>
      <c r="R534" s="9">
        <f t="shared" si="35"/>
        <v>84953.260084216599</v>
      </c>
    </row>
    <row r="535" spans="1:18" ht="15.5">
      <c r="A535" s="7" t="s">
        <v>28</v>
      </c>
      <c r="B535" s="7" t="s">
        <v>29</v>
      </c>
      <c r="C535" s="8">
        <v>2019</v>
      </c>
      <c r="D535" s="9">
        <v>6.483657</v>
      </c>
      <c r="E535" s="9">
        <v>2.72424364089966</v>
      </c>
      <c r="F535" s="9"/>
      <c r="G535" s="9">
        <v>2.28634881973267</v>
      </c>
      <c r="H535" s="9">
        <v>42934.63671875</v>
      </c>
      <c r="I535" s="9">
        <v>229469.15625</v>
      </c>
      <c r="J535" s="9">
        <v>0.95876014232635498</v>
      </c>
      <c r="K535" s="9">
        <v>0.52010387182235696</v>
      </c>
      <c r="L535" s="9" t="e">
        <f>IF(OR(OIT!#REF!="",OIT!#REF!=""),"",OIT!#REF!-OIT!#REF!)</f>
        <v>#REF!</v>
      </c>
      <c r="M535" s="9" t="e">
        <f>IF(OR(OIT!#REF!="",OIT!#REF!=""),"",OIT!#REF!-OIT!#REF!)</f>
        <v>#REF!</v>
      </c>
      <c r="N535" s="9" t="e">
        <f>IF(OR(OIT!#REF!="",OIT!#REF!=""),"",OIT!#REF!-OIT!#REF!)</f>
        <v>#REF!</v>
      </c>
      <c r="O535" s="9">
        <f t="shared" si="32"/>
        <v>0</v>
      </c>
      <c r="P535" s="9">
        <f t="shared" si="33"/>
        <v>15760.204437724658</v>
      </c>
      <c r="Q535" s="9" t="str">
        <f t="shared" si="34"/>
        <v/>
      </c>
      <c r="R535" s="9">
        <f t="shared" si="35"/>
        <v>84232.244431052284</v>
      </c>
    </row>
    <row r="536" spans="1:18" ht="15.5">
      <c r="A536" s="7" t="s">
        <v>28</v>
      </c>
      <c r="B536" s="7" t="s">
        <v>29</v>
      </c>
      <c r="C536" s="8">
        <v>2020</v>
      </c>
      <c r="D536" s="9">
        <v>6.5652670000000004</v>
      </c>
      <c r="E536" s="9">
        <v>2.72410321235657</v>
      </c>
      <c r="F536" s="9"/>
      <c r="G536" s="9">
        <v>2.3091709613800102</v>
      </c>
      <c r="H536" s="9">
        <v>42180.9140625</v>
      </c>
      <c r="I536" s="9">
        <v>231493.765625</v>
      </c>
      <c r="J536" s="9">
        <v>0.93879717588424705</v>
      </c>
      <c r="K536" s="9">
        <v>0.52010387182235696</v>
      </c>
      <c r="L536" s="9" t="e">
        <f>IF(OR(OIT!#REF!="",OIT!#REF!=""),"",OIT!#REF!-OIT!#REF!)</f>
        <v>#REF!</v>
      </c>
      <c r="M536" s="9" t="e">
        <f>IF(OR(OIT!#REF!="",OIT!#REF!=""),"",OIT!#REF!-OIT!#REF!)</f>
        <v>#REF!</v>
      </c>
      <c r="N536" s="9" t="e">
        <f>IF(OR(OIT!#REF!="",OIT!#REF!=""),"",OIT!#REF!-OIT!#REF!)</f>
        <v>#REF!</v>
      </c>
      <c r="O536" s="9">
        <f t="shared" si="32"/>
        <v>0</v>
      </c>
      <c r="P536" s="9">
        <f t="shared" si="33"/>
        <v>15484.33035546039</v>
      </c>
      <c r="Q536" s="9" t="str">
        <f t="shared" si="34"/>
        <v/>
      </c>
      <c r="R536" s="9">
        <f t="shared" si="35"/>
        <v>84979.807143481594</v>
      </c>
    </row>
    <row r="537" spans="1:18" ht="15.5">
      <c r="A537" s="7" t="s">
        <v>28</v>
      </c>
      <c r="B537" s="7" t="s">
        <v>29</v>
      </c>
      <c r="C537" s="8">
        <v>2021</v>
      </c>
      <c r="D537" s="9">
        <v>6.6447409999999998</v>
      </c>
      <c r="E537" s="9">
        <v>2.7792382240295401</v>
      </c>
      <c r="F537" s="9"/>
      <c r="G537" s="9">
        <v>2.3401832580566402</v>
      </c>
      <c r="H537" s="9">
        <v>46532.21875</v>
      </c>
      <c r="I537" s="9">
        <v>237416.71875</v>
      </c>
      <c r="J537" s="9">
        <v>1</v>
      </c>
      <c r="K537" s="9">
        <v>0.52010387182235696</v>
      </c>
      <c r="L537" s="9" t="e">
        <f>IF(OR(OIT!#REF!="",OIT!#REF!=""),"",OIT!#REF!-OIT!#REF!)</f>
        <v>#REF!</v>
      </c>
      <c r="M537" s="9" t="e">
        <f>IF(OR(OIT!#REF!="",OIT!#REF!=""),"",OIT!#REF!-OIT!#REF!)</f>
        <v>#REF!</v>
      </c>
      <c r="N537" s="9" t="e">
        <f>IF(OR(OIT!#REF!="",OIT!#REF!=""),"",OIT!#REF!-OIT!#REF!)</f>
        <v>#REF!</v>
      </c>
      <c r="O537" s="9">
        <f t="shared" si="32"/>
        <v>0</v>
      </c>
      <c r="P537" s="9">
        <f t="shared" si="33"/>
        <v>16742.796046657069</v>
      </c>
      <c r="Q537" s="9" t="str">
        <f t="shared" si="34"/>
        <v/>
      </c>
      <c r="R537" s="9">
        <f t="shared" si="35"/>
        <v>85425.105590904015</v>
      </c>
    </row>
    <row r="538" spans="1:18" ht="15.5">
      <c r="A538" s="7" t="s">
        <v>28</v>
      </c>
      <c r="B538" s="7" t="s">
        <v>29</v>
      </c>
      <c r="C538" s="8">
        <v>2022</v>
      </c>
      <c r="D538" s="9">
        <v>6.7306540000000004</v>
      </c>
      <c r="E538" s="9">
        <v>2.9114334583282502</v>
      </c>
      <c r="F538" s="9"/>
      <c r="G538" s="9">
        <v>2.3722109794616699</v>
      </c>
      <c r="H538" s="9">
        <v>48278.32421875</v>
      </c>
      <c r="I538" s="9">
        <v>242393.015625</v>
      </c>
      <c r="J538" s="9">
        <v>0.99337953329086304</v>
      </c>
      <c r="K538" s="9">
        <v>0.52010387182235696</v>
      </c>
      <c r="L538" s="9" t="e">
        <f>IF(OR(OIT!#REF!="",OIT!#REF!=""),"",OIT!#REF!-OIT!#REF!)</f>
        <v>#REF!</v>
      </c>
      <c r="M538" s="9" t="e">
        <f>IF(OR(OIT!#REF!="",OIT!#REF!=""),"",OIT!#REF!-OIT!#REF!)</f>
        <v>#REF!</v>
      </c>
      <c r="N538" s="9" t="e">
        <f>IF(OR(OIT!#REF!="",OIT!#REF!=""),"",OIT!#REF!-OIT!#REF!)</f>
        <v>#REF!</v>
      </c>
      <c r="O538" s="9">
        <f t="shared" si="32"/>
        <v>0</v>
      </c>
      <c r="P538" s="9">
        <f t="shared" si="33"/>
        <v>16582.321014635687</v>
      </c>
      <c r="Q538" s="9" t="str">
        <f t="shared" si="34"/>
        <v/>
      </c>
      <c r="R538" s="9">
        <f t="shared" si="35"/>
        <v>83255.557475176669</v>
      </c>
    </row>
    <row r="539" spans="1:18" ht="15.5">
      <c r="A539" s="7" t="s">
        <v>28</v>
      </c>
      <c r="B539" s="7" t="s">
        <v>29</v>
      </c>
      <c r="C539" s="8">
        <v>2023</v>
      </c>
      <c r="D539" s="9">
        <v>6.8236129999999999</v>
      </c>
      <c r="E539" s="9">
        <v>2.98746585845947</v>
      </c>
      <c r="F539" s="9"/>
      <c r="G539" s="9">
        <v>2.40529561042786</v>
      </c>
      <c r="H539" s="9">
        <v>50484.40625</v>
      </c>
      <c r="I539" s="9">
        <v>248782.265625</v>
      </c>
      <c r="J539" s="9">
        <v>1.00375020503998</v>
      </c>
      <c r="K539" s="9">
        <v>0.52010387182235696</v>
      </c>
      <c r="L539" s="9" t="e">
        <f>IF(OR(OIT!#REF!="",OIT!#REF!=""),"",OIT!#REF!-OIT!#REF!)</f>
        <v>#REF!</v>
      </c>
      <c r="M539" s="9" t="e">
        <f>IF(OR(OIT!#REF!="",OIT!#REF!=""),"",OIT!#REF!-OIT!#REF!)</f>
        <v>#REF!</v>
      </c>
      <c r="N539" s="9" t="e">
        <f>IF(OR(OIT!#REF!="",OIT!#REF!=""),"",OIT!#REF!-OIT!#REF!)</f>
        <v>#REF!</v>
      </c>
      <c r="O539" s="9">
        <f t="shared" si="32"/>
        <v>0</v>
      </c>
      <c r="P539" s="9">
        <f t="shared" si="33"/>
        <v>16898.739146104592</v>
      </c>
      <c r="Q539" s="9" t="str">
        <f t="shared" si="34"/>
        <v/>
      </c>
      <c r="R539" s="9">
        <f t="shared" si="35"/>
        <v>83275.350217152998</v>
      </c>
    </row>
    <row r="540" spans="1:18" ht="15.5">
      <c r="A540" s="7" t="s">
        <v>28</v>
      </c>
      <c r="B540" s="7" t="s">
        <v>29</v>
      </c>
      <c r="C540" s="8">
        <v>2024</v>
      </c>
      <c r="D540" s="9"/>
      <c r="E540" s="9"/>
      <c r="F540" s="9"/>
      <c r="G540" s="9"/>
      <c r="H540" s="9"/>
      <c r="I540" s="9"/>
      <c r="J540" s="9"/>
      <c r="K540" s="9"/>
      <c r="L540" s="9" t="e">
        <f>IF(OR(OIT!#REF!="",OIT!#REF!=""),"",OIT!#REF!-OIT!#REF!)</f>
        <v>#REF!</v>
      </c>
      <c r="M540" s="9" t="e">
        <f>IF(OR(OIT!#REF!="",OIT!#REF!=""),"",OIT!#REF!-OIT!#REF!)</f>
        <v>#REF!</v>
      </c>
      <c r="N540" s="9" t="e">
        <f>IF(OR(OIT!#REF!="",OIT!#REF!=""),"",OIT!#REF!-OIT!#REF!)</f>
        <v>#REF!</v>
      </c>
      <c r="O540" s="9">
        <f t="shared" si="32"/>
        <v>0</v>
      </c>
      <c r="P540" s="9" t="str">
        <f t="shared" si="33"/>
        <v/>
      </c>
      <c r="Q540" s="9" t="str">
        <f t="shared" si="34"/>
        <v/>
      </c>
      <c r="R540" s="9" t="str">
        <f t="shared" si="35"/>
        <v/>
      </c>
    </row>
    <row r="541" spans="1:18" ht="15.5">
      <c r="A541" s="7" t="s">
        <v>28</v>
      </c>
      <c r="B541" s="7" t="s">
        <v>29</v>
      </c>
      <c r="C541" s="8">
        <v>2025</v>
      </c>
      <c r="D541" s="9"/>
      <c r="E541" s="9"/>
      <c r="F541" s="9"/>
      <c r="G541" s="9"/>
      <c r="H541" s="9"/>
      <c r="I541" s="9"/>
      <c r="J541" s="9"/>
      <c r="K541" s="9"/>
      <c r="L541" s="9" t="e">
        <f>IF(OR(OIT!#REF!="",OIT!#REF!=""),"",OIT!#REF!-OIT!#REF!)</f>
        <v>#REF!</v>
      </c>
      <c r="M541" s="9" t="e">
        <f>IF(OR(OIT!#REF!="",OIT!#REF!=""),"",OIT!#REF!-OIT!#REF!)</f>
        <v>#REF!</v>
      </c>
      <c r="N541" s="9" t="e">
        <f>IF(OR(OIT!#REF!="",OIT!#REF!=""),"",OIT!#REF!-OIT!#REF!)</f>
        <v>#REF!</v>
      </c>
      <c r="O541" s="9">
        <f t="shared" si="32"/>
        <v>0</v>
      </c>
      <c r="P541" s="9" t="str">
        <f t="shared" si="33"/>
        <v/>
      </c>
      <c r="Q541" s="9" t="str">
        <f t="shared" si="34"/>
        <v/>
      </c>
      <c r="R541" s="9" t="str">
        <f t="shared" si="35"/>
        <v/>
      </c>
    </row>
    <row r="542" spans="1:18" ht="15.5">
      <c r="A542" s="7" t="s">
        <v>30</v>
      </c>
      <c r="B542" s="7" t="s">
        <v>31</v>
      </c>
      <c r="C542" s="8">
        <v>1990</v>
      </c>
      <c r="D542" s="9">
        <v>2.4555829999999998</v>
      </c>
      <c r="E542" s="9">
        <v>0.70061844587326105</v>
      </c>
      <c r="F542" s="9"/>
      <c r="G542" s="9">
        <v>2.37255930900574</v>
      </c>
      <c r="H542" s="9">
        <v>27624.115234375</v>
      </c>
      <c r="I542" s="9">
        <v>79298.234375</v>
      </c>
      <c r="J542" s="9">
        <v>1.2914129495620701</v>
      </c>
      <c r="K542" s="9">
        <v>0.48513349890708901</v>
      </c>
      <c r="L542" s="9" t="e">
        <f>IF(OR(OIT!#REF!="",OIT!#REF!=""),"",OIT!#REF!-OIT!#REF!)</f>
        <v>#REF!</v>
      </c>
      <c r="M542" s="9" t="e">
        <f>IF(OR(OIT!#REF!="",OIT!#REF!=""),"",OIT!#REF!-OIT!#REF!)</f>
        <v>#REF!</v>
      </c>
      <c r="N542" s="9" t="e">
        <f>IF(OR(OIT!#REF!="",OIT!#REF!=""),"",OIT!#REF!-OIT!#REF!)</f>
        <v>#REF!</v>
      </c>
      <c r="O542" s="9">
        <f t="shared" si="32"/>
        <v>0</v>
      </c>
      <c r="P542" s="9">
        <f t="shared" si="33"/>
        <v>39428.187192450947</v>
      </c>
      <c r="Q542" s="9" t="str">
        <f t="shared" si="34"/>
        <v/>
      </c>
      <c r="R542" s="9">
        <f t="shared" si="35"/>
        <v>113183.19527851073</v>
      </c>
    </row>
    <row r="543" spans="1:18" ht="15.5">
      <c r="A543" s="7" t="s">
        <v>30</v>
      </c>
      <c r="B543" s="7" t="s">
        <v>31</v>
      </c>
      <c r="C543" s="8">
        <v>1991</v>
      </c>
      <c r="D543" s="9">
        <v>2.5082650000000002</v>
      </c>
      <c r="E543" s="9">
        <v>0.71514397859573398</v>
      </c>
      <c r="F543" s="9"/>
      <c r="G543" s="9">
        <v>2.39479756355286</v>
      </c>
      <c r="H543" s="9">
        <v>30226.03515625</v>
      </c>
      <c r="I543" s="9">
        <v>80971.3515625</v>
      </c>
      <c r="J543" s="9">
        <v>1.3769564628601101</v>
      </c>
      <c r="K543" s="9">
        <v>0.47699996829032898</v>
      </c>
      <c r="L543" s="9" t="e">
        <f>IF(OR(OIT!#REF!="",OIT!#REF!=""),"",OIT!#REF!-OIT!#REF!)</f>
        <v>#REF!</v>
      </c>
      <c r="M543" s="9" t="e">
        <f>IF(OR(OIT!#REF!="",OIT!#REF!=""),"",OIT!#REF!-OIT!#REF!)</f>
        <v>#REF!</v>
      </c>
      <c r="N543" s="9" t="e">
        <f>IF(OR(OIT!#REF!="",OIT!#REF!=""),"",OIT!#REF!-OIT!#REF!)</f>
        <v>#REF!</v>
      </c>
      <c r="O543" s="9">
        <f t="shared" si="32"/>
        <v>0</v>
      </c>
      <c r="P543" s="9">
        <f t="shared" si="33"/>
        <v>42265.664063343211</v>
      </c>
      <c r="Q543" s="9" t="str">
        <f t="shared" si="34"/>
        <v/>
      </c>
      <c r="R543" s="9">
        <f t="shared" si="35"/>
        <v>113223.84580724066</v>
      </c>
    </row>
    <row r="544" spans="1:18" ht="15.5">
      <c r="A544" s="7" t="s">
        <v>30</v>
      </c>
      <c r="B544" s="7" t="s">
        <v>31</v>
      </c>
      <c r="C544" s="8">
        <v>1992</v>
      </c>
      <c r="D544" s="9">
        <v>2.5613359999999998</v>
      </c>
      <c r="E544" s="9">
        <v>0.78156501054763805</v>
      </c>
      <c r="F544" s="9"/>
      <c r="G544" s="9">
        <v>2.4172441959381099</v>
      </c>
      <c r="H544" s="9">
        <v>32705.076171875</v>
      </c>
      <c r="I544" s="9">
        <v>84627.5625</v>
      </c>
      <c r="J544" s="9">
        <v>1.3887201547622701</v>
      </c>
      <c r="K544" s="9">
        <v>0.44653102755546598</v>
      </c>
      <c r="L544" s="9" t="e">
        <f>IF(OR(OIT!#REF!="",OIT!#REF!=""),"",OIT!#REF!-OIT!#REF!)</f>
        <v>#REF!</v>
      </c>
      <c r="M544" s="9" t="e">
        <f>IF(OR(OIT!#REF!="",OIT!#REF!=""),"",OIT!#REF!-OIT!#REF!)</f>
        <v>#REF!</v>
      </c>
      <c r="N544" s="9" t="e">
        <f>IF(OR(OIT!#REF!="",OIT!#REF!=""),"",OIT!#REF!-OIT!#REF!)</f>
        <v>#REF!</v>
      </c>
      <c r="O544" s="9">
        <f t="shared" si="32"/>
        <v>0</v>
      </c>
      <c r="P544" s="9">
        <f t="shared" si="33"/>
        <v>41845.624779132246</v>
      </c>
      <c r="Q544" s="9" t="str">
        <f t="shared" si="34"/>
        <v/>
      </c>
      <c r="R544" s="9">
        <f t="shared" si="35"/>
        <v>108279.62019525665</v>
      </c>
    </row>
    <row r="545" spans="1:18" ht="15.5">
      <c r="A545" s="7" t="s">
        <v>30</v>
      </c>
      <c r="B545" s="7" t="s">
        <v>31</v>
      </c>
      <c r="C545" s="8">
        <v>1993</v>
      </c>
      <c r="D545" s="9">
        <v>2.6150989999999998</v>
      </c>
      <c r="E545" s="9">
        <v>0.81558299064636197</v>
      </c>
      <c r="F545" s="9"/>
      <c r="G545" s="9">
        <v>2.43990135192871</v>
      </c>
      <c r="H545" s="9">
        <v>34489.3828125</v>
      </c>
      <c r="I545" s="9">
        <v>90964.5390625</v>
      </c>
      <c r="J545" s="9">
        <v>1.3638215065002399</v>
      </c>
      <c r="K545" s="9">
        <v>0.43341267108917197</v>
      </c>
      <c r="L545" s="9" t="e">
        <f>IF(OR(OIT!#REF!="",OIT!#REF!=""),"",OIT!#REF!-OIT!#REF!)</f>
        <v>#REF!</v>
      </c>
      <c r="M545" s="9" t="e">
        <f>IF(OR(OIT!#REF!="",OIT!#REF!=""),"",OIT!#REF!-OIT!#REF!)</f>
        <v>#REF!</v>
      </c>
      <c r="N545" s="9" t="e">
        <f>IF(OR(OIT!#REF!="",OIT!#REF!=""),"",OIT!#REF!-OIT!#REF!)</f>
        <v>#REF!</v>
      </c>
      <c r="O545" s="9">
        <f t="shared" si="32"/>
        <v>0</v>
      </c>
      <c r="P545" s="9">
        <f t="shared" si="33"/>
        <v>42288.011407847822</v>
      </c>
      <c r="Q545" s="9" t="str">
        <f t="shared" si="34"/>
        <v/>
      </c>
      <c r="R545" s="9">
        <f t="shared" si="35"/>
        <v>111533.14880979704</v>
      </c>
    </row>
    <row r="546" spans="1:18" ht="15.5">
      <c r="A546" s="7" t="s">
        <v>30</v>
      </c>
      <c r="B546" s="7" t="s">
        <v>31</v>
      </c>
      <c r="C546" s="8">
        <v>1994</v>
      </c>
      <c r="D546" s="9">
        <v>2.669546</v>
      </c>
      <c r="E546" s="9">
        <v>0.83182400465011597</v>
      </c>
      <c r="F546" s="9"/>
      <c r="G546" s="9">
        <v>2.4627709388732901</v>
      </c>
      <c r="H546" s="9">
        <v>35472.3828125</v>
      </c>
      <c r="I546" s="9">
        <v>97417.1953125</v>
      </c>
      <c r="J546" s="9">
        <v>1.3216644525528001</v>
      </c>
      <c r="K546" s="9">
        <v>0.430160522460938</v>
      </c>
      <c r="L546" s="9" t="e">
        <f>IF(OR(OIT!#REF!="",OIT!#REF!=""),"",OIT!#REF!-OIT!#REF!)</f>
        <v>#REF!</v>
      </c>
      <c r="M546" s="9" t="e">
        <f>IF(OR(OIT!#REF!="",OIT!#REF!=""),"",OIT!#REF!-OIT!#REF!)</f>
        <v>#REF!</v>
      </c>
      <c r="N546" s="9" t="e">
        <f>IF(OR(OIT!#REF!="",OIT!#REF!=""),"",OIT!#REF!-OIT!#REF!)</f>
        <v>#REF!</v>
      </c>
      <c r="O546" s="9">
        <f t="shared" si="32"/>
        <v>0</v>
      </c>
      <c r="P546" s="9">
        <f t="shared" si="33"/>
        <v>42644.096123939686</v>
      </c>
      <c r="Q546" s="9" t="str">
        <f t="shared" si="34"/>
        <v/>
      </c>
      <c r="R546" s="9">
        <f t="shared" si="35"/>
        <v>117112.74833127217</v>
      </c>
    </row>
    <row r="547" spans="1:18" ht="15.5">
      <c r="A547" s="7" t="s">
        <v>30</v>
      </c>
      <c r="B547" s="7" t="s">
        <v>31</v>
      </c>
      <c r="C547" s="8">
        <v>1995</v>
      </c>
      <c r="D547" s="9">
        <v>2.7245569999999999</v>
      </c>
      <c r="E547" s="9">
        <v>0.86665791273117099</v>
      </c>
      <c r="F547" s="9"/>
      <c r="G547" s="9">
        <v>2.4858548641204798</v>
      </c>
      <c r="H547" s="9">
        <v>36093.7421875</v>
      </c>
      <c r="I547" s="9">
        <v>104335.3203125</v>
      </c>
      <c r="J547" s="9">
        <v>1.2594143152236901</v>
      </c>
      <c r="K547" s="9">
        <v>0.43045145273208602</v>
      </c>
      <c r="L547" s="9" t="e">
        <f>IF(OR(OIT!#REF!="",OIT!#REF!=""),"",OIT!#REF!-OIT!#REF!)</f>
        <v>#REF!</v>
      </c>
      <c r="M547" s="9" t="e">
        <f>IF(OR(OIT!#REF!="",OIT!#REF!=""),"",OIT!#REF!-OIT!#REF!)</f>
        <v>#REF!</v>
      </c>
      <c r="N547" s="9" t="e">
        <f>IF(OR(OIT!#REF!="",OIT!#REF!=""),"",OIT!#REF!-OIT!#REF!)</f>
        <v>#REF!</v>
      </c>
      <c r="O547" s="9">
        <f t="shared" si="32"/>
        <v>0</v>
      </c>
      <c r="P547" s="9">
        <f t="shared" si="33"/>
        <v>41647.046265065299</v>
      </c>
      <c r="Q547" s="9" t="str">
        <f t="shared" si="34"/>
        <v/>
      </c>
      <c r="R547" s="9">
        <f t="shared" si="35"/>
        <v>120388.12405658358</v>
      </c>
    </row>
    <row r="548" spans="1:18" ht="15.5">
      <c r="A548" s="7" t="s">
        <v>30</v>
      </c>
      <c r="B548" s="7" t="s">
        <v>31</v>
      </c>
      <c r="C548" s="8">
        <v>1996</v>
      </c>
      <c r="D548" s="9">
        <v>2.780227</v>
      </c>
      <c r="E548" s="9">
        <v>0.86721897125244096</v>
      </c>
      <c r="F548" s="9"/>
      <c r="G548" s="9">
        <v>2.50915503501892</v>
      </c>
      <c r="H548" s="9">
        <v>37108.19140625</v>
      </c>
      <c r="I548" s="9">
        <v>110544.171875</v>
      </c>
      <c r="J548" s="9">
        <v>1.2423586845398</v>
      </c>
      <c r="K548" s="9">
        <v>0.45294243097305298</v>
      </c>
      <c r="L548" s="9" t="e">
        <f>IF(OR(OIT!#REF!="",OIT!#REF!=""),"",OIT!#REF!-OIT!#REF!)</f>
        <v>#REF!</v>
      </c>
      <c r="M548" s="9" t="e">
        <f>IF(OR(OIT!#REF!="",OIT!#REF!=""),"",OIT!#REF!-OIT!#REF!)</f>
        <v>#REF!</v>
      </c>
      <c r="N548" s="9" t="e">
        <f>IF(OR(OIT!#REF!="",OIT!#REF!=""),"",OIT!#REF!-OIT!#REF!)</f>
        <v>#REF!</v>
      </c>
      <c r="O548" s="9">
        <f t="shared" si="32"/>
        <v>0</v>
      </c>
      <c r="P548" s="9">
        <f t="shared" si="33"/>
        <v>42789.875033128264</v>
      </c>
      <c r="Q548" s="9" t="str">
        <f t="shared" si="34"/>
        <v/>
      </c>
      <c r="R548" s="9">
        <f t="shared" si="35"/>
        <v>127469.7343340537</v>
      </c>
    </row>
    <row r="549" spans="1:18" ht="15.5">
      <c r="A549" s="7" t="s">
        <v>30</v>
      </c>
      <c r="B549" s="7" t="s">
        <v>31</v>
      </c>
      <c r="C549" s="8">
        <v>1997</v>
      </c>
      <c r="D549" s="9">
        <v>2.8366950000000002</v>
      </c>
      <c r="E549" s="9">
        <v>0.90905505418777499</v>
      </c>
      <c r="F549" s="9"/>
      <c r="G549" s="9">
        <v>2.5326735973358199</v>
      </c>
      <c r="H549" s="9">
        <v>39507.41015625</v>
      </c>
      <c r="I549" s="9">
        <v>117186.5234375</v>
      </c>
      <c r="J549" s="9">
        <v>1.2420244216918901</v>
      </c>
      <c r="K549" s="9">
        <v>0.45110732316970797</v>
      </c>
      <c r="L549" s="9" t="e">
        <f>IF(OR(OIT!#REF!="",OIT!#REF!=""),"",OIT!#REF!-OIT!#REF!)</f>
        <v>#REF!</v>
      </c>
      <c r="M549" s="9" t="e">
        <f>IF(OR(OIT!#REF!="",OIT!#REF!=""),"",OIT!#REF!-OIT!#REF!)</f>
        <v>#REF!</v>
      </c>
      <c r="N549" s="9" t="e">
        <f>IF(OR(OIT!#REF!="",OIT!#REF!=""),"",OIT!#REF!-OIT!#REF!)</f>
        <v>#REF!</v>
      </c>
      <c r="O549" s="9">
        <f t="shared" si="32"/>
        <v>0</v>
      </c>
      <c r="P549" s="9">
        <f t="shared" si="33"/>
        <v>43459.865246059482</v>
      </c>
      <c r="Q549" s="9" t="str">
        <f t="shared" si="34"/>
        <v/>
      </c>
      <c r="R549" s="9">
        <f t="shared" si="35"/>
        <v>128910.26005262589</v>
      </c>
    </row>
    <row r="550" spans="1:18" ht="15.5">
      <c r="A550" s="7" t="s">
        <v>30</v>
      </c>
      <c r="B550" s="7" t="s">
        <v>31</v>
      </c>
      <c r="C550" s="8">
        <v>1998</v>
      </c>
      <c r="D550" s="9">
        <v>2.8939140000000001</v>
      </c>
      <c r="E550" s="9">
        <v>0.93647503852844205</v>
      </c>
      <c r="F550" s="9"/>
      <c r="G550" s="9">
        <v>2.5564126968383798</v>
      </c>
      <c r="H550" s="9">
        <v>42408.6171875</v>
      </c>
      <c r="I550" s="9">
        <v>125324.8984375</v>
      </c>
      <c r="J550" s="9">
        <v>1.2515784502029399</v>
      </c>
      <c r="K550" s="9">
        <v>0.45898172259330799</v>
      </c>
      <c r="L550" s="9" t="e">
        <f>IF(OR(OIT!#REF!="",OIT!#REF!=""),"",OIT!#REF!-OIT!#REF!)</f>
        <v>#REF!</v>
      </c>
      <c r="M550" s="9" t="e">
        <f>IF(OR(OIT!#REF!="",OIT!#REF!=""),"",OIT!#REF!-OIT!#REF!)</f>
        <v>#REF!</v>
      </c>
      <c r="N550" s="9" t="e">
        <f>IF(OR(OIT!#REF!="",OIT!#REF!=""),"",OIT!#REF!-OIT!#REF!)</f>
        <v>#REF!</v>
      </c>
      <c r="O550" s="9">
        <f t="shared" si="32"/>
        <v>0</v>
      </c>
      <c r="P550" s="9">
        <f t="shared" si="33"/>
        <v>45285.368475106443</v>
      </c>
      <c r="Q550" s="9" t="str">
        <f t="shared" si="34"/>
        <v/>
      </c>
      <c r="R550" s="9">
        <f t="shared" si="35"/>
        <v>133826.20281522186</v>
      </c>
    </row>
    <row r="551" spans="1:18" ht="15.5">
      <c r="A551" s="7" t="s">
        <v>30</v>
      </c>
      <c r="B551" s="7" t="s">
        <v>31</v>
      </c>
      <c r="C551" s="8">
        <v>1999</v>
      </c>
      <c r="D551" s="9">
        <v>2.9518219999999999</v>
      </c>
      <c r="E551" s="9">
        <v>0.96140301227569602</v>
      </c>
      <c r="F551" s="9"/>
      <c r="G551" s="9">
        <v>2.5736935138702401</v>
      </c>
      <c r="H551" s="9">
        <v>44067.01953125</v>
      </c>
      <c r="I551" s="9">
        <v>134417.953125</v>
      </c>
      <c r="J551" s="9">
        <v>1.2297289371490501</v>
      </c>
      <c r="K551" s="9">
        <v>0.45734637975692799</v>
      </c>
      <c r="L551" s="9" t="e">
        <f>IF(OR(OIT!#REF!="",OIT!#REF!=""),"",OIT!#REF!-OIT!#REF!)</f>
        <v>#REF!</v>
      </c>
      <c r="M551" s="9" t="e">
        <f>IF(OR(OIT!#REF!="",OIT!#REF!=""),"",OIT!#REF!-OIT!#REF!)</f>
        <v>#REF!</v>
      </c>
      <c r="N551" s="9" t="e">
        <f>IF(OR(OIT!#REF!="",OIT!#REF!=""),"",OIT!#REF!-OIT!#REF!)</f>
        <v>#REF!</v>
      </c>
      <c r="O551" s="9">
        <f t="shared" si="32"/>
        <v>0</v>
      </c>
      <c r="P551" s="9">
        <f t="shared" si="33"/>
        <v>45836.157125138227</v>
      </c>
      <c r="Q551" s="9" t="str">
        <f t="shared" si="34"/>
        <v/>
      </c>
      <c r="R551" s="9">
        <f t="shared" si="35"/>
        <v>139814.36651298293</v>
      </c>
    </row>
    <row r="552" spans="1:18" ht="15.5">
      <c r="A552" s="7" t="s">
        <v>30</v>
      </c>
      <c r="B552" s="7" t="s">
        <v>31</v>
      </c>
      <c r="C552" s="8">
        <v>2000</v>
      </c>
      <c r="D552" s="9">
        <v>3.0103689999999999</v>
      </c>
      <c r="E552" s="9">
        <v>0.94010800123214699</v>
      </c>
      <c r="F552" s="9"/>
      <c r="G552" s="9">
        <v>2.5899102687835698</v>
      </c>
      <c r="H552" s="9">
        <v>45266.4296875</v>
      </c>
      <c r="I552" s="9">
        <v>141943.578125</v>
      </c>
      <c r="J552" s="9">
        <v>1.2362488508224501</v>
      </c>
      <c r="K552" s="9">
        <v>0.47095772624015803</v>
      </c>
      <c r="L552" s="9" t="e">
        <f>IF(OR(OIT!#REF!="",OIT!#REF!=""),"",OIT!#REF!-OIT!#REF!)</f>
        <v>#REF!</v>
      </c>
      <c r="M552" s="9" t="e">
        <f>IF(OR(OIT!#REF!="",OIT!#REF!=""),"",OIT!#REF!-OIT!#REF!)</f>
        <v>#REF!</v>
      </c>
      <c r="N552" s="9" t="e">
        <f>IF(OR(OIT!#REF!="",OIT!#REF!=""),"",OIT!#REF!-OIT!#REF!)</f>
        <v>#REF!</v>
      </c>
      <c r="O552" s="9">
        <f t="shared" si="32"/>
        <v>0</v>
      </c>
      <c r="P552" s="9">
        <f t="shared" si="33"/>
        <v>48150.244044484061</v>
      </c>
      <c r="Q552" s="9" t="str">
        <f t="shared" si="34"/>
        <v/>
      </c>
      <c r="R552" s="9">
        <f t="shared" si="35"/>
        <v>150986.45893765663</v>
      </c>
    </row>
    <row r="553" spans="1:18" ht="15.5">
      <c r="A553" s="7" t="s">
        <v>30</v>
      </c>
      <c r="B553" s="7" t="s">
        <v>31</v>
      </c>
      <c r="C553" s="8">
        <v>2001</v>
      </c>
      <c r="D553" s="9">
        <v>3.069537</v>
      </c>
      <c r="E553" s="9">
        <v>0.98422300815582298</v>
      </c>
      <c r="F553" s="9"/>
      <c r="G553" s="9">
        <v>2.6055963039398198</v>
      </c>
      <c r="H553" s="9">
        <v>45525.1875</v>
      </c>
      <c r="I553" s="9">
        <v>145375.15625</v>
      </c>
      <c r="J553" s="9">
        <v>1.20663797855377</v>
      </c>
      <c r="K553" s="9">
        <v>0.45703783631324801</v>
      </c>
      <c r="L553" s="9" t="e">
        <f>IF(OR(OIT!#REF!="",OIT!#REF!=""),"",OIT!#REF!-OIT!#REF!)</f>
        <v>#REF!</v>
      </c>
      <c r="M553" s="9" t="e">
        <f>IF(OR(OIT!#REF!="",OIT!#REF!=""),"",OIT!#REF!-OIT!#REF!)</f>
        <v>#REF!</v>
      </c>
      <c r="N553" s="9" t="e">
        <f>IF(OR(OIT!#REF!="",OIT!#REF!=""),"",OIT!#REF!-OIT!#REF!)</f>
        <v>#REF!</v>
      </c>
      <c r="O553" s="9">
        <f t="shared" si="32"/>
        <v>0</v>
      </c>
      <c r="P553" s="9">
        <f t="shared" si="33"/>
        <v>46254.951492449174</v>
      </c>
      <c r="Q553" s="9" t="str">
        <f t="shared" si="34"/>
        <v/>
      </c>
      <c r="R553" s="9">
        <f t="shared" si="35"/>
        <v>147705.50479448261</v>
      </c>
    </row>
    <row r="554" spans="1:18" ht="15.5">
      <c r="A554" s="7" t="s">
        <v>30</v>
      </c>
      <c r="B554" s="7" t="s">
        <v>31</v>
      </c>
      <c r="C554" s="8">
        <v>2002</v>
      </c>
      <c r="D554" s="9">
        <v>3.1293440000000001</v>
      </c>
      <c r="E554" s="9">
        <v>1.0495250225067101</v>
      </c>
      <c r="F554" s="9"/>
      <c r="G554" s="9">
        <v>2.62137746810913</v>
      </c>
      <c r="H554" s="9">
        <v>46539.890625</v>
      </c>
      <c r="I554" s="9">
        <v>148182.734375</v>
      </c>
      <c r="J554" s="9">
        <v>1.18952548503876</v>
      </c>
      <c r="K554" s="9">
        <v>0.44613039493560802</v>
      </c>
      <c r="L554" s="9" t="e">
        <f>IF(OR(OIT!#REF!="",OIT!#REF!=""),"",OIT!#REF!-OIT!#REF!)</f>
        <v>#REF!</v>
      </c>
      <c r="M554" s="9" t="e">
        <f>IF(OR(OIT!#REF!="",OIT!#REF!=""),"",OIT!#REF!-OIT!#REF!)</f>
        <v>#REF!</v>
      </c>
      <c r="N554" s="9" t="e">
        <f>IF(OR(OIT!#REF!="",OIT!#REF!=""),"",OIT!#REF!-OIT!#REF!)</f>
        <v>#REF!</v>
      </c>
      <c r="O554" s="9">
        <f t="shared" si="32"/>
        <v>0</v>
      </c>
      <c r="P554" s="9">
        <f t="shared" si="33"/>
        <v>44343.764681134555</v>
      </c>
      <c r="Q554" s="9" t="str">
        <f t="shared" si="34"/>
        <v/>
      </c>
      <c r="R554" s="9">
        <f t="shared" si="35"/>
        <v>141190.28245851336</v>
      </c>
    </row>
    <row r="555" spans="1:18" ht="15.5">
      <c r="A555" s="7" t="s">
        <v>30</v>
      </c>
      <c r="B555" s="7" t="s">
        <v>31</v>
      </c>
      <c r="C555" s="8">
        <v>2003</v>
      </c>
      <c r="D555" s="9">
        <v>3.1898070000000001</v>
      </c>
      <c r="E555" s="9">
        <v>1.0805230140686</v>
      </c>
      <c r="F555" s="9"/>
      <c r="G555" s="9">
        <v>2.6372539997100799</v>
      </c>
      <c r="H555" s="9">
        <v>48497.25</v>
      </c>
      <c r="I555" s="9">
        <v>153648.25</v>
      </c>
      <c r="J555" s="9">
        <v>1.2020468711853001</v>
      </c>
      <c r="K555" s="9">
        <v>0.43984088301658603</v>
      </c>
      <c r="L555" s="9" t="e">
        <f>IF(OR(OIT!#REF!="",OIT!#REF!=""),"",OIT!#REF!-OIT!#REF!)</f>
        <v>#REF!</v>
      </c>
      <c r="M555" s="9" t="e">
        <f>IF(OR(OIT!#REF!="",OIT!#REF!=""),"",OIT!#REF!-OIT!#REF!)</f>
        <v>#REF!</v>
      </c>
      <c r="N555" s="9" t="e">
        <f>IF(OR(OIT!#REF!="",OIT!#REF!=""),"",OIT!#REF!-OIT!#REF!)</f>
        <v>#REF!</v>
      </c>
      <c r="O555" s="9">
        <f t="shared" si="32"/>
        <v>0</v>
      </c>
      <c r="P555" s="9">
        <f t="shared" si="33"/>
        <v>44883.12545735469</v>
      </c>
      <c r="Q555" s="9" t="str">
        <f t="shared" si="34"/>
        <v/>
      </c>
      <c r="R555" s="9">
        <f t="shared" si="35"/>
        <v>142198.03558042977</v>
      </c>
    </row>
    <row r="556" spans="1:18" ht="15.5">
      <c r="A556" s="7" t="s">
        <v>30</v>
      </c>
      <c r="B556" s="7" t="s">
        <v>31</v>
      </c>
      <c r="C556" s="8">
        <v>2004</v>
      </c>
      <c r="D556" s="9">
        <v>3.2511549999999998</v>
      </c>
      <c r="E556" s="9">
        <v>1.1347299814224201</v>
      </c>
      <c r="F556" s="9"/>
      <c r="G556" s="9">
        <v>2.65322685241699</v>
      </c>
      <c r="H556" s="9">
        <v>52145.25</v>
      </c>
      <c r="I556" s="9">
        <v>160240.5625</v>
      </c>
      <c r="J556" s="9">
        <v>1.2339055538177499</v>
      </c>
      <c r="K556" s="9">
        <v>0.43745952844619801</v>
      </c>
      <c r="L556" s="9" t="e">
        <f>IF(OR(OIT!#REF!="",OIT!#REF!=""),"",OIT!#REF!-OIT!#REF!)</f>
        <v>#REF!</v>
      </c>
      <c r="M556" s="9" t="e">
        <f>IF(OR(OIT!#REF!="",OIT!#REF!=""),"",OIT!#REF!-OIT!#REF!)</f>
        <v>#REF!</v>
      </c>
      <c r="N556" s="9" t="e">
        <f>IF(OR(OIT!#REF!="",OIT!#REF!=""),"",OIT!#REF!-OIT!#REF!)</f>
        <v>#REF!</v>
      </c>
      <c r="O556" s="9">
        <f t="shared" si="32"/>
        <v>0</v>
      </c>
      <c r="P556" s="9">
        <f t="shared" si="33"/>
        <v>45953.884054983966</v>
      </c>
      <c r="Q556" s="9" t="str">
        <f t="shared" si="34"/>
        <v/>
      </c>
      <c r="R556" s="9">
        <f t="shared" si="35"/>
        <v>141214.70757222205</v>
      </c>
    </row>
    <row r="557" spans="1:18" ht="15.5">
      <c r="A557" s="7" t="s">
        <v>30</v>
      </c>
      <c r="B557" s="7" t="s">
        <v>31</v>
      </c>
      <c r="C557" s="8">
        <v>2005</v>
      </c>
      <c r="D557" s="9">
        <v>3.3130259999999998</v>
      </c>
      <c r="E557" s="9">
        <v>1.18830502033234</v>
      </c>
      <c r="F557" s="9"/>
      <c r="G557" s="9">
        <v>2.6692965030670202</v>
      </c>
      <c r="H557" s="9">
        <v>55895.15625</v>
      </c>
      <c r="I557" s="9">
        <v>167605.953125</v>
      </c>
      <c r="J557" s="9">
        <v>1.2604886293411299</v>
      </c>
      <c r="K557" s="9">
        <v>0.42097109556198098</v>
      </c>
      <c r="L557" s="9" t="e">
        <f>IF(OR(OIT!#REF!="",OIT!#REF!=""),"",OIT!#REF!-OIT!#REF!)</f>
        <v>#REF!</v>
      </c>
      <c r="M557" s="9" t="e">
        <f>IF(OR(OIT!#REF!="",OIT!#REF!=""),"",OIT!#REF!-OIT!#REF!)</f>
        <v>#REF!</v>
      </c>
      <c r="N557" s="9" t="e">
        <f>IF(OR(OIT!#REF!="",OIT!#REF!=""),"",OIT!#REF!-OIT!#REF!)</f>
        <v>#REF!</v>
      </c>
      <c r="O557" s="9">
        <f t="shared" si="32"/>
        <v>0</v>
      </c>
      <c r="P557" s="9">
        <f t="shared" si="33"/>
        <v>47037.717836425101</v>
      </c>
      <c r="Q557" s="9" t="str">
        <f t="shared" si="34"/>
        <v/>
      </c>
      <c r="R557" s="9">
        <f t="shared" si="35"/>
        <v>141046.23834554254</v>
      </c>
    </row>
    <row r="558" spans="1:18" ht="15.5">
      <c r="A558" s="7" t="s">
        <v>30</v>
      </c>
      <c r="B558" s="7" t="s">
        <v>31</v>
      </c>
      <c r="C558" s="8">
        <v>2006</v>
      </c>
      <c r="D558" s="9">
        <v>3.3750239999999998</v>
      </c>
      <c r="E558" s="9">
        <v>1.21070003509521</v>
      </c>
      <c r="F558" s="9"/>
      <c r="G558" s="9">
        <v>2.6854631900787398</v>
      </c>
      <c r="H558" s="9">
        <v>60661.76171875</v>
      </c>
      <c r="I558" s="9">
        <v>177196.9375</v>
      </c>
      <c r="J558" s="9">
        <v>1.3097553253173799</v>
      </c>
      <c r="K558" s="9">
        <v>0.41787371039390597</v>
      </c>
      <c r="L558" s="9" t="e">
        <f>IF(OR(OIT!#REF!="",OIT!#REF!=""),"",OIT!#REF!-OIT!#REF!)</f>
        <v>#REF!</v>
      </c>
      <c r="M558" s="9" t="e">
        <f>IF(OR(OIT!#REF!="",OIT!#REF!=""),"",OIT!#REF!-OIT!#REF!)</f>
        <v>#REF!</v>
      </c>
      <c r="N558" s="9" t="e">
        <f>IF(OR(OIT!#REF!="",OIT!#REF!=""),"",OIT!#REF!-OIT!#REF!)</f>
        <v>#REF!</v>
      </c>
      <c r="O558" s="9">
        <f t="shared" si="32"/>
        <v>0</v>
      </c>
      <c r="P558" s="9">
        <f t="shared" si="33"/>
        <v>50104.699727690626</v>
      </c>
      <c r="Q558" s="9" t="str">
        <f t="shared" si="34"/>
        <v/>
      </c>
      <c r="R558" s="9">
        <f t="shared" si="35"/>
        <v>146359.07521557572</v>
      </c>
    </row>
    <row r="559" spans="1:18" ht="15.5">
      <c r="A559" s="7" t="s">
        <v>30</v>
      </c>
      <c r="B559" s="7" t="s">
        <v>31</v>
      </c>
      <c r="C559" s="8">
        <v>2007</v>
      </c>
      <c r="D559" s="9">
        <v>3.4374899999999999</v>
      </c>
      <c r="E559" s="9">
        <v>1.26400005817413</v>
      </c>
      <c r="F559" s="9"/>
      <c r="G559" s="9">
        <v>2.7017278671264702</v>
      </c>
      <c r="H559" s="9">
        <v>68009.515625</v>
      </c>
      <c r="I559" s="9">
        <v>193924</v>
      </c>
      <c r="J559" s="9">
        <v>1.36420261859894</v>
      </c>
      <c r="K559" s="9">
        <v>0.41679039597511303</v>
      </c>
      <c r="L559" s="9" t="e">
        <f>IF(OR(OIT!#REF!="",OIT!#REF!=""),"",OIT!#REF!-OIT!#REF!)</f>
        <v>#REF!</v>
      </c>
      <c r="M559" s="9" t="e">
        <f>IF(OR(OIT!#REF!="",OIT!#REF!=""),"",OIT!#REF!-OIT!#REF!)</f>
        <v>#REF!</v>
      </c>
      <c r="N559" s="9" t="e">
        <f>IF(OR(OIT!#REF!="",OIT!#REF!=""),"",OIT!#REF!-OIT!#REF!)</f>
        <v>#REF!</v>
      </c>
      <c r="O559" s="9">
        <f t="shared" si="32"/>
        <v>0</v>
      </c>
      <c r="P559" s="9">
        <f t="shared" si="33"/>
        <v>53804.994062453545</v>
      </c>
      <c r="Q559" s="9" t="str">
        <f t="shared" si="34"/>
        <v/>
      </c>
      <c r="R559" s="9">
        <f t="shared" si="35"/>
        <v>153420.87901493185</v>
      </c>
    </row>
    <row r="560" spans="1:18" ht="15.5">
      <c r="A560" s="7" t="s">
        <v>30</v>
      </c>
      <c r="B560" s="7" t="s">
        <v>31</v>
      </c>
      <c r="C560" s="8">
        <v>2008</v>
      </c>
      <c r="D560" s="9">
        <v>3.500648</v>
      </c>
      <c r="E560" s="9">
        <v>1.4219210147857699</v>
      </c>
      <c r="F560" s="9"/>
      <c r="G560" s="9">
        <v>2.7180912494659402</v>
      </c>
      <c r="H560" s="9">
        <v>74955.6171875</v>
      </c>
      <c r="I560" s="9">
        <v>215625.5625</v>
      </c>
      <c r="J560" s="9">
        <v>1.34923076629639</v>
      </c>
      <c r="K560" s="9">
        <v>0.38727885484695401</v>
      </c>
      <c r="L560" s="9" t="e">
        <f>IF(OR(OIT!#REF!="",OIT!#REF!=""),"",OIT!#REF!-OIT!#REF!)</f>
        <v>#REF!</v>
      </c>
      <c r="M560" s="9" t="e">
        <f>IF(OR(OIT!#REF!="",OIT!#REF!=""),"",OIT!#REF!-OIT!#REF!)</f>
        <v>#REF!</v>
      </c>
      <c r="N560" s="9" t="e">
        <f>IF(OR(OIT!#REF!="",OIT!#REF!=""),"",OIT!#REF!-OIT!#REF!)</f>
        <v>#REF!</v>
      </c>
      <c r="O560" s="9">
        <f t="shared" si="32"/>
        <v>0</v>
      </c>
      <c r="P560" s="9">
        <f t="shared" si="33"/>
        <v>52714.332517824834</v>
      </c>
      <c r="Q560" s="9" t="str">
        <f t="shared" si="34"/>
        <v/>
      </c>
      <c r="R560" s="9">
        <f t="shared" si="35"/>
        <v>151643.83974765762</v>
      </c>
    </row>
    <row r="561" spans="1:18" ht="15.5">
      <c r="A561" s="7" t="s">
        <v>30</v>
      </c>
      <c r="B561" s="7" t="s">
        <v>31</v>
      </c>
      <c r="C561" s="8">
        <v>2009</v>
      </c>
      <c r="D561" s="9">
        <v>3.564381</v>
      </c>
      <c r="E561" s="9">
        <v>1.44080102443695</v>
      </c>
      <c r="F561" s="9"/>
      <c r="G561" s="9">
        <v>2.7345538139343302</v>
      </c>
      <c r="H561" s="9">
        <v>76134.5078125</v>
      </c>
      <c r="I561" s="9">
        <v>235656.9375</v>
      </c>
      <c r="J561" s="9">
        <v>1.30416667461395</v>
      </c>
      <c r="K561" s="9">
        <v>0.36862194538116499</v>
      </c>
      <c r="L561" s="9" t="e">
        <f>IF(OR(OIT!#REF!="",OIT!#REF!=""),"",OIT!#REF!-OIT!#REF!)</f>
        <v>#REF!</v>
      </c>
      <c r="M561" s="9" t="e">
        <f>IF(OR(OIT!#REF!="",OIT!#REF!=""),"",OIT!#REF!-OIT!#REF!)</f>
        <v>#REF!</v>
      </c>
      <c r="N561" s="9" t="e">
        <f>IF(OR(OIT!#REF!="",OIT!#REF!=""),"",OIT!#REF!-OIT!#REF!)</f>
        <v>#REF!</v>
      </c>
      <c r="O561" s="9">
        <f t="shared" si="32"/>
        <v>0</v>
      </c>
      <c r="P561" s="9">
        <f t="shared" si="33"/>
        <v>52841.791837462479</v>
      </c>
      <c r="Q561" s="9" t="str">
        <f t="shared" si="34"/>
        <v/>
      </c>
      <c r="R561" s="9">
        <f t="shared" si="35"/>
        <v>163559.66820060546</v>
      </c>
    </row>
    <row r="562" spans="1:18" ht="15.5">
      <c r="A562" s="7" t="s">
        <v>30</v>
      </c>
      <c r="B562" s="7" t="s">
        <v>31</v>
      </c>
      <c r="C562" s="8">
        <v>2010</v>
      </c>
      <c r="D562" s="9">
        <v>3.6285349999999998</v>
      </c>
      <c r="E562" s="9">
        <v>1.4553040266037001</v>
      </c>
      <c r="F562" s="9"/>
      <c r="G562" s="9">
        <v>2.7511157989502002</v>
      </c>
      <c r="H562" s="9">
        <v>80834.078125</v>
      </c>
      <c r="I562" s="9">
        <v>258562.046875</v>
      </c>
      <c r="J562" s="9">
        <v>1.29209101200104</v>
      </c>
      <c r="K562" s="9">
        <v>0.36616548895835899</v>
      </c>
      <c r="L562" s="9" t="e">
        <f>IF(OR(OIT!#REF!="",OIT!#REF!=""),"",OIT!#REF!-OIT!#REF!)</f>
        <v>#REF!</v>
      </c>
      <c r="M562" s="9" t="e">
        <f>IF(OR(OIT!#REF!="",OIT!#REF!=""),"",OIT!#REF!-OIT!#REF!)</f>
        <v>#REF!</v>
      </c>
      <c r="N562" s="9" t="e">
        <f>IF(OR(OIT!#REF!="",OIT!#REF!=""),"",OIT!#REF!-OIT!#REF!)</f>
        <v>#REF!</v>
      </c>
      <c r="O562" s="9">
        <f t="shared" si="32"/>
        <v>0</v>
      </c>
      <c r="P562" s="9">
        <f t="shared" si="33"/>
        <v>55544.461258480573</v>
      </c>
      <c r="Q562" s="9" t="str">
        <f t="shared" si="34"/>
        <v/>
      </c>
      <c r="R562" s="9">
        <f t="shared" si="35"/>
        <v>177668.74972401222</v>
      </c>
    </row>
    <row r="563" spans="1:18" ht="15.5">
      <c r="A563" s="7" t="s">
        <v>30</v>
      </c>
      <c r="B563" s="7" t="s">
        <v>31</v>
      </c>
      <c r="C563" s="8">
        <v>2011</v>
      </c>
      <c r="D563" s="9">
        <v>3.693505</v>
      </c>
      <c r="E563" s="9">
        <v>1.5380140542984</v>
      </c>
      <c r="F563" s="9"/>
      <c r="G563" s="9">
        <v>2.7660250663757302</v>
      </c>
      <c r="H563" s="9">
        <v>90272.4453125</v>
      </c>
      <c r="I563" s="9">
        <v>286708.25</v>
      </c>
      <c r="J563" s="9">
        <v>1.3154423236846899</v>
      </c>
      <c r="K563" s="9">
        <v>0.34506717324256903</v>
      </c>
      <c r="L563" s="9" t="e">
        <f>IF(OR(OIT!#REF!="",OIT!#REF!=""),"",OIT!#REF!-OIT!#REF!)</f>
        <v>#REF!</v>
      </c>
      <c r="M563" s="9" t="e">
        <f>IF(OR(OIT!#REF!="",OIT!#REF!=""),"",OIT!#REF!-OIT!#REF!)</f>
        <v>#REF!</v>
      </c>
      <c r="N563" s="9" t="e">
        <f>IF(OR(OIT!#REF!="",OIT!#REF!=""),"",OIT!#REF!-OIT!#REF!)</f>
        <v>#REF!</v>
      </c>
      <c r="O563" s="9">
        <f t="shared" si="32"/>
        <v>0</v>
      </c>
      <c r="P563" s="9">
        <f t="shared" si="33"/>
        <v>58694.161513159786</v>
      </c>
      <c r="Q563" s="9" t="str">
        <f t="shared" si="34"/>
        <v/>
      </c>
      <c r="R563" s="9">
        <f t="shared" si="35"/>
        <v>186414.58392315437</v>
      </c>
    </row>
    <row r="564" spans="1:18" ht="15.5">
      <c r="A564" s="7" t="s">
        <v>30</v>
      </c>
      <c r="B564" s="7" t="s">
        <v>31</v>
      </c>
      <c r="C564" s="8">
        <v>2012</v>
      </c>
      <c r="D564" s="9">
        <v>3.7592560000000002</v>
      </c>
      <c r="E564" s="9">
        <v>1.61690402030945</v>
      </c>
      <c r="F564" s="9"/>
      <c r="G564" s="9">
        <v>2.7810153961181601</v>
      </c>
      <c r="H564" s="9">
        <v>99422.84375</v>
      </c>
      <c r="I564" s="9">
        <v>324284.4375</v>
      </c>
      <c r="J564" s="9">
        <v>1.31803131103516</v>
      </c>
      <c r="K564" s="9">
        <v>0.334396243095398</v>
      </c>
      <c r="L564" s="9" t="e">
        <f>IF(OR(OIT!#REF!="",OIT!#REF!=""),"",OIT!#REF!-OIT!#REF!)</f>
        <v>#REF!</v>
      </c>
      <c r="M564" s="9" t="e">
        <f>IF(OR(OIT!#REF!="",OIT!#REF!=""),"",OIT!#REF!-OIT!#REF!)</f>
        <v>#REF!</v>
      </c>
      <c r="N564" s="9" t="e">
        <f>IF(OR(OIT!#REF!="",OIT!#REF!=""),"",OIT!#REF!-OIT!#REF!)</f>
        <v>#REF!</v>
      </c>
      <c r="O564" s="9">
        <f t="shared" si="32"/>
        <v>0</v>
      </c>
      <c r="P564" s="9">
        <f t="shared" si="33"/>
        <v>61489.638532144927</v>
      </c>
      <c r="Q564" s="9" t="str">
        <f t="shared" si="34"/>
        <v/>
      </c>
      <c r="R564" s="9">
        <f t="shared" si="35"/>
        <v>200558.86646749574</v>
      </c>
    </row>
    <row r="565" spans="1:18" ht="15.5">
      <c r="A565" s="7" t="s">
        <v>30</v>
      </c>
      <c r="B565" s="7" t="s">
        <v>31</v>
      </c>
      <c r="C565" s="8">
        <v>2013</v>
      </c>
      <c r="D565" s="9">
        <v>3.825329</v>
      </c>
      <c r="E565" s="9">
        <v>1.67235195636749</v>
      </c>
      <c r="F565" s="9"/>
      <c r="G565" s="9">
        <v>2.7960867881774898</v>
      </c>
      <c r="H565" s="9">
        <v>106632.6640625</v>
      </c>
      <c r="I565" s="9">
        <v>372217.71875</v>
      </c>
      <c r="J565" s="9">
        <v>1.27882993221283</v>
      </c>
      <c r="K565" s="9">
        <v>0.32045066356658902</v>
      </c>
      <c r="L565" s="9" t="e">
        <f>IF(OR(OIT!#REF!="",OIT!#REF!=""),"",OIT!#REF!-OIT!#REF!)</f>
        <v>#REF!</v>
      </c>
      <c r="M565" s="9" t="e">
        <f>IF(OR(OIT!#REF!="",OIT!#REF!=""),"",OIT!#REF!-OIT!#REF!)</f>
        <v>#REF!</v>
      </c>
      <c r="N565" s="9" t="e">
        <f>IF(OR(OIT!#REF!="",OIT!#REF!=""),"",OIT!#REF!-OIT!#REF!)</f>
        <v>#REF!</v>
      </c>
      <c r="O565" s="9">
        <f t="shared" si="32"/>
        <v>0</v>
      </c>
      <c r="P565" s="9">
        <f t="shared" si="33"/>
        <v>63762.094848811874</v>
      </c>
      <c r="Q565" s="9" t="str">
        <f t="shared" si="34"/>
        <v/>
      </c>
      <c r="R565" s="9">
        <f t="shared" si="35"/>
        <v>222571.40151197169</v>
      </c>
    </row>
    <row r="566" spans="1:18" ht="15.5">
      <c r="A566" s="7" t="s">
        <v>30</v>
      </c>
      <c r="B566" s="7" t="s">
        <v>31</v>
      </c>
      <c r="C566" s="8">
        <v>2014</v>
      </c>
      <c r="D566" s="9">
        <v>3.8921009999999998</v>
      </c>
      <c r="E566" s="9">
        <v>1.69520604610443</v>
      </c>
      <c r="F566" s="9"/>
      <c r="G566" s="9">
        <v>2.81123995780945</v>
      </c>
      <c r="H566" s="9">
        <v>112400.28125</v>
      </c>
      <c r="I566" s="9">
        <v>424969.8125</v>
      </c>
      <c r="J566" s="9">
        <v>1.23006343841553</v>
      </c>
      <c r="K566" s="9">
        <v>0.31018111109733598</v>
      </c>
      <c r="L566" s="9" t="e">
        <f>IF(OR(OIT!#REF!="",OIT!#REF!=""),"",OIT!#REF!-OIT!#REF!)</f>
        <v>#REF!</v>
      </c>
      <c r="M566" s="9" t="e">
        <f>IF(OR(OIT!#REF!="",OIT!#REF!=""),"",OIT!#REF!-OIT!#REF!)</f>
        <v>#REF!</v>
      </c>
      <c r="N566" s="9" t="e">
        <f>IF(OR(OIT!#REF!="",OIT!#REF!=""),"",OIT!#REF!-OIT!#REF!)</f>
        <v>#REF!</v>
      </c>
      <c r="O566" s="9">
        <f t="shared" si="32"/>
        <v>0</v>
      </c>
      <c r="P566" s="9">
        <f t="shared" si="33"/>
        <v>66304.790210190054</v>
      </c>
      <c r="Q566" s="9" t="str">
        <f t="shared" si="34"/>
        <v/>
      </c>
      <c r="R566" s="9">
        <f t="shared" si="35"/>
        <v>250689.17933402682</v>
      </c>
    </row>
    <row r="567" spans="1:18" ht="15.5">
      <c r="A567" s="7" t="s">
        <v>30</v>
      </c>
      <c r="B567" s="7" t="s">
        <v>31</v>
      </c>
      <c r="C567" s="8">
        <v>2015</v>
      </c>
      <c r="D567" s="9">
        <v>3.960035</v>
      </c>
      <c r="E567" s="9">
        <v>1.7335289716720601</v>
      </c>
      <c r="F567" s="9"/>
      <c r="G567" s="9">
        <v>2.8264751434326199</v>
      </c>
      <c r="H567" s="9">
        <v>119230.96875</v>
      </c>
      <c r="I567" s="9">
        <v>481424.09375</v>
      </c>
      <c r="J567" s="9">
        <v>1.19141221046448</v>
      </c>
      <c r="K567" s="9">
        <v>0.31339675188064597</v>
      </c>
      <c r="L567" s="9" t="e">
        <f>IF(OR(OIT!#REF!="",OIT!#REF!=""),"",OIT!#REF!-OIT!#REF!)</f>
        <v>#REF!</v>
      </c>
      <c r="M567" s="9" t="e">
        <f>IF(OR(OIT!#REF!="",OIT!#REF!=""),"",OIT!#REF!-OIT!#REF!)</f>
        <v>#REF!</v>
      </c>
      <c r="N567" s="9" t="e">
        <f>IF(OR(OIT!#REF!="",OIT!#REF!=""),"",OIT!#REF!-OIT!#REF!)</f>
        <v>#REF!</v>
      </c>
      <c r="O567" s="9">
        <f t="shared" si="32"/>
        <v>0</v>
      </c>
      <c r="P567" s="9">
        <f t="shared" si="33"/>
        <v>68779.334351128156</v>
      </c>
      <c r="Q567" s="9" t="str">
        <f t="shared" si="34"/>
        <v/>
      </c>
      <c r="R567" s="9">
        <f t="shared" si="35"/>
        <v>277713.32444801694</v>
      </c>
    </row>
    <row r="568" spans="1:18" ht="15.5">
      <c r="A568" s="7" t="s">
        <v>30</v>
      </c>
      <c r="B568" s="7" t="s">
        <v>31</v>
      </c>
      <c r="C568" s="8">
        <v>2016</v>
      </c>
      <c r="D568" s="9">
        <v>4.0290860000000004</v>
      </c>
      <c r="E568" s="9">
        <v>1.77078402042389</v>
      </c>
      <c r="F568" s="9"/>
      <c r="G568" s="9">
        <v>2.8417930603027299</v>
      </c>
      <c r="H568" s="9">
        <v>125544.6171875</v>
      </c>
      <c r="I568" s="9">
        <v>538378.375</v>
      </c>
      <c r="J568" s="9">
        <v>1.15537369251251</v>
      </c>
      <c r="K568" s="9">
        <v>0.31531125307083102</v>
      </c>
      <c r="L568" s="9" t="e">
        <f>IF(OR(OIT!#REF!="",OIT!#REF!=""),"",OIT!#REF!-OIT!#REF!)</f>
        <v>#REF!</v>
      </c>
      <c r="M568" s="9" t="e">
        <f>IF(OR(OIT!#REF!="",OIT!#REF!=""),"",OIT!#REF!-OIT!#REF!)</f>
        <v>#REF!</v>
      </c>
      <c r="N568" s="9" t="e">
        <f>IF(OR(OIT!#REF!="",OIT!#REF!=""),"",OIT!#REF!-OIT!#REF!)</f>
        <v>#REF!</v>
      </c>
      <c r="O568" s="9">
        <f t="shared" si="32"/>
        <v>0</v>
      </c>
      <c r="P568" s="9">
        <f t="shared" si="33"/>
        <v>70897.758133963245</v>
      </c>
      <c r="Q568" s="9" t="str">
        <f t="shared" si="34"/>
        <v/>
      </c>
      <c r="R568" s="9">
        <f t="shared" si="35"/>
        <v>304033.90181436302</v>
      </c>
    </row>
    <row r="569" spans="1:18" ht="15.5">
      <c r="A569" s="7" t="s">
        <v>30</v>
      </c>
      <c r="B569" s="7" t="s">
        <v>31</v>
      </c>
      <c r="C569" s="8">
        <v>2017</v>
      </c>
      <c r="D569" s="9">
        <v>4.0987070000000001</v>
      </c>
      <c r="E569" s="9">
        <v>1.78575003147125</v>
      </c>
      <c r="F569" s="9"/>
      <c r="G569" s="9">
        <v>2.8571937084197998</v>
      </c>
      <c r="H569" s="9">
        <v>132995.984375</v>
      </c>
      <c r="I569" s="9">
        <v>599424.875</v>
      </c>
      <c r="J569" s="9">
        <v>1.13239121437073</v>
      </c>
      <c r="K569" s="9">
        <v>0.32047176361084001</v>
      </c>
      <c r="L569" s="9" t="e">
        <f>IF(OR(OIT!#REF!="",OIT!#REF!=""),"",OIT!#REF!-OIT!#REF!)</f>
        <v>#REF!</v>
      </c>
      <c r="M569" s="9" t="e">
        <f>IF(OR(OIT!#REF!="",OIT!#REF!=""),"",OIT!#REF!-OIT!#REF!)</f>
        <v>#REF!</v>
      </c>
      <c r="N569" s="9" t="e">
        <f>IF(OR(OIT!#REF!="",OIT!#REF!=""),"",OIT!#REF!-OIT!#REF!)</f>
        <v>#REF!</v>
      </c>
      <c r="O569" s="9">
        <f t="shared" si="32"/>
        <v>0</v>
      </c>
      <c r="P569" s="9">
        <f t="shared" si="33"/>
        <v>74476.260412229589</v>
      </c>
      <c r="Q569" s="9" t="str">
        <f t="shared" si="34"/>
        <v/>
      </c>
      <c r="R569" s="9">
        <f t="shared" si="35"/>
        <v>335671.21065995097</v>
      </c>
    </row>
    <row r="570" spans="1:18" ht="15.5">
      <c r="A570" s="7" t="s">
        <v>30</v>
      </c>
      <c r="B570" s="7" t="s">
        <v>31</v>
      </c>
      <c r="C570" s="8">
        <v>2018</v>
      </c>
      <c r="D570" s="9">
        <v>4.1678600000000001</v>
      </c>
      <c r="E570" s="9">
        <v>1.8674830198287999</v>
      </c>
      <c r="F570" s="9"/>
      <c r="G570" s="9">
        <v>2.8726780414581299</v>
      </c>
      <c r="H570" s="9">
        <v>138346.671875</v>
      </c>
      <c r="I570" s="9">
        <v>659140</v>
      </c>
      <c r="J570" s="9">
        <v>1.0854090452194201</v>
      </c>
      <c r="K570" s="9">
        <v>0.32563242316245999</v>
      </c>
      <c r="L570" s="9" t="e">
        <f>IF(OR(OIT!#REF!="",OIT!#REF!=""),"",OIT!#REF!-OIT!#REF!)</f>
        <v>#REF!</v>
      </c>
      <c r="M570" s="9" t="e">
        <f>IF(OR(OIT!#REF!="",OIT!#REF!=""),"",OIT!#REF!-OIT!#REF!)</f>
        <v>#REF!</v>
      </c>
      <c r="N570" s="9" t="e">
        <f>IF(OR(OIT!#REF!="",OIT!#REF!=""),"",OIT!#REF!-OIT!#REF!)</f>
        <v>#REF!</v>
      </c>
      <c r="O570" s="9">
        <f t="shared" si="32"/>
        <v>0</v>
      </c>
      <c r="P570" s="9">
        <f t="shared" si="33"/>
        <v>74081.890119505784</v>
      </c>
      <c r="Q570" s="9" t="str">
        <f t="shared" si="34"/>
        <v/>
      </c>
      <c r="R570" s="9">
        <f t="shared" si="35"/>
        <v>352956.35515894875</v>
      </c>
    </row>
    <row r="571" spans="1:18" ht="15.5">
      <c r="A571" s="7" t="s">
        <v>30</v>
      </c>
      <c r="B571" s="7" t="s">
        <v>31</v>
      </c>
      <c r="C571" s="8">
        <v>2019</v>
      </c>
      <c r="D571" s="9">
        <v>4.2347000000000001</v>
      </c>
      <c r="E571" s="9">
        <v>1.91987705230713</v>
      </c>
      <c r="F571" s="9"/>
      <c r="G571" s="9">
        <v>2.8882462978363002</v>
      </c>
      <c r="H571" s="9">
        <v>142887.015625</v>
      </c>
      <c r="I571" s="9">
        <v>715883.375</v>
      </c>
      <c r="J571" s="9">
        <v>1.0520979166030899</v>
      </c>
      <c r="K571" s="9">
        <v>0.33457905054092402</v>
      </c>
      <c r="L571" s="9" t="e">
        <f>IF(OR(OIT!#REF!="",OIT!#REF!=""),"",OIT!#REF!-OIT!#REF!)</f>
        <v>#REF!</v>
      </c>
      <c r="M571" s="9" t="e">
        <f>IF(OR(OIT!#REF!="",OIT!#REF!=""),"",OIT!#REF!-OIT!#REF!)</f>
        <v>#REF!</v>
      </c>
      <c r="N571" s="9" t="e">
        <f>IF(OR(OIT!#REF!="",OIT!#REF!=""),"",OIT!#REF!-OIT!#REF!)</f>
        <v>#REF!</v>
      </c>
      <c r="O571" s="9">
        <f t="shared" si="32"/>
        <v>0</v>
      </c>
      <c r="P571" s="9">
        <f t="shared" si="33"/>
        <v>74425.086467537927</v>
      </c>
      <c r="Q571" s="9" t="str">
        <f t="shared" si="34"/>
        <v/>
      </c>
      <c r="R571" s="9">
        <f t="shared" si="35"/>
        <v>372879.80193300283</v>
      </c>
    </row>
    <row r="572" spans="1:18" ht="15.5">
      <c r="A572" s="7" t="s">
        <v>30</v>
      </c>
      <c r="B572" s="7" t="s">
        <v>31</v>
      </c>
      <c r="C572" s="8">
        <v>2020</v>
      </c>
      <c r="D572" s="9">
        <v>4.2932610000000002</v>
      </c>
      <c r="E572" s="9">
        <v>1.63169097900391</v>
      </c>
      <c r="F572" s="9"/>
      <c r="G572" s="9">
        <v>2.9038989543914799</v>
      </c>
      <c r="H572" s="9">
        <v>117641.203125</v>
      </c>
      <c r="I572" s="9">
        <v>732217.9375</v>
      </c>
      <c r="J572" s="9">
        <v>0.90590745210647605</v>
      </c>
      <c r="K572" s="9">
        <v>0.314422607421875</v>
      </c>
      <c r="L572" s="9" t="e">
        <f>IF(OR(OIT!#REF!="",OIT!#REF!=""),"",OIT!#REF!-OIT!#REF!)</f>
        <v>#REF!</v>
      </c>
      <c r="M572" s="9" t="e">
        <f>IF(OR(OIT!#REF!="",OIT!#REF!=""),"",OIT!#REF!-OIT!#REF!)</f>
        <v>#REF!</v>
      </c>
      <c r="N572" s="9" t="e">
        <f>IF(OR(OIT!#REF!="",OIT!#REF!=""),"",OIT!#REF!-OIT!#REF!)</f>
        <v>#REF!</v>
      </c>
      <c r="O572" s="9">
        <f t="shared" si="32"/>
        <v>0</v>
      </c>
      <c r="P572" s="9">
        <f t="shared" si="33"/>
        <v>72097.722325348528</v>
      </c>
      <c r="Q572" s="9" t="str">
        <f t="shared" si="34"/>
        <v/>
      </c>
      <c r="R572" s="9">
        <f t="shared" si="35"/>
        <v>448747.9228125618</v>
      </c>
    </row>
    <row r="573" spans="1:18" ht="15.5">
      <c r="A573" s="7" t="s">
        <v>30</v>
      </c>
      <c r="B573" s="7" t="s">
        <v>31</v>
      </c>
      <c r="C573" s="8">
        <v>2021</v>
      </c>
      <c r="D573" s="9">
        <v>4.3454050000000004</v>
      </c>
      <c r="E573" s="9">
        <v>1.7432719469070399</v>
      </c>
      <c r="F573" s="9"/>
      <c r="G573" s="9">
        <v>2.9241471290588401</v>
      </c>
      <c r="H573" s="9">
        <v>136270.671875</v>
      </c>
      <c r="I573" s="9">
        <v>762250.6875</v>
      </c>
      <c r="J573" s="9">
        <v>1</v>
      </c>
      <c r="K573" s="9">
        <v>0.328374564647675</v>
      </c>
      <c r="L573" s="9" t="e">
        <f>IF(OR(OIT!#REF!="",OIT!#REF!=""),"",OIT!#REF!-OIT!#REF!)</f>
        <v>#REF!</v>
      </c>
      <c r="M573" s="9" t="e">
        <f>IF(OR(OIT!#REF!="",OIT!#REF!=""),"",OIT!#REF!-OIT!#REF!)</f>
        <v>#REF!</v>
      </c>
      <c r="N573" s="9" t="e">
        <f>IF(OR(OIT!#REF!="",OIT!#REF!=""),"",OIT!#REF!-OIT!#REF!)</f>
        <v>#REF!</v>
      </c>
      <c r="O573" s="9">
        <f t="shared" si="32"/>
        <v>0</v>
      </c>
      <c r="P573" s="9">
        <f t="shared" si="33"/>
        <v>78169.485900794258</v>
      </c>
      <c r="Q573" s="9" t="str">
        <f t="shared" si="34"/>
        <v/>
      </c>
      <c r="R573" s="9">
        <f t="shared" si="35"/>
        <v>437252.88464166806</v>
      </c>
    </row>
    <row r="574" spans="1:18" ht="15.5">
      <c r="A574" s="7" t="s">
        <v>30</v>
      </c>
      <c r="B574" s="7" t="s">
        <v>31</v>
      </c>
      <c r="C574" s="8">
        <v>2022</v>
      </c>
      <c r="D574" s="9">
        <v>4.400773</v>
      </c>
      <c r="E574" s="9">
        <v>1.83882784843445</v>
      </c>
      <c r="F574" s="9"/>
      <c r="G574" s="9">
        <v>2.9447486400604301</v>
      </c>
      <c r="H574" s="9">
        <v>151000.609375</v>
      </c>
      <c r="I574" s="9">
        <v>803641.625</v>
      </c>
      <c r="J574" s="9">
        <v>1.0507575273513801</v>
      </c>
      <c r="K574" s="9">
        <v>0.328374564647675</v>
      </c>
      <c r="L574" s="9" t="e">
        <f>IF(OR(OIT!#REF!="",OIT!#REF!=""),"",OIT!#REF!-OIT!#REF!)</f>
        <v>#REF!</v>
      </c>
      <c r="M574" s="9" t="e">
        <f>IF(OR(OIT!#REF!="",OIT!#REF!=""),"",OIT!#REF!-OIT!#REF!)</f>
        <v>#REF!</v>
      </c>
      <c r="N574" s="9" t="e">
        <f>IF(OR(OIT!#REF!="",OIT!#REF!=""),"",OIT!#REF!-OIT!#REF!)</f>
        <v>#REF!</v>
      </c>
      <c r="O574" s="9">
        <f t="shared" si="32"/>
        <v>0</v>
      </c>
      <c r="P574" s="9">
        <f t="shared" si="33"/>
        <v>82117.860844646013</v>
      </c>
      <c r="Q574" s="9" t="str">
        <f t="shared" si="34"/>
        <v/>
      </c>
      <c r="R574" s="9">
        <f t="shared" si="35"/>
        <v>437040.16430043097</v>
      </c>
    </row>
    <row r="575" spans="1:18" ht="15.5">
      <c r="A575" s="7" t="s">
        <v>30</v>
      </c>
      <c r="B575" s="7" t="s">
        <v>31</v>
      </c>
      <c r="C575" s="8">
        <v>2023</v>
      </c>
      <c r="D575" s="9">
        <v>4.4587589999999997</v>
      </c>
      <c r="E575" s="9">
        <v>1.93736696243286</v>
      </c>
      <c r="F575" s="9"/>
      <c r="G575" s="9">
        <v>2.9657113552093501</v>
      </c>
      <c r="H575" s="9">
        <v>162048.984375</v>
      </c>
      <c r="I575" s="9">
        <v>859836.4375</v>
      </c>
      <c r="J575" s="9">
        <v>1.05535399913788</v>
      </c>
      <c r="K575" s="9">
        <v>0.328374564647675</v>
      </c>
      <c r="L575" s="9" t="e">
        <f>IF(OR(OIT!#REF!="",OIT!#REF!=""),"",OIT!#REF!-OIT!#REF!)</f>
        <v>#REF!</v>
      </c>
      <c r="M575" s="9" t="e">
        <f>IF(OR(OIT!#REF!="",OIT!#REF!=""),"",OIT!#REF!-OIT!#REF!)</f>
        <v>#REF!</v>
      </c>
      <c r="N575" s="9" t="e">
        <f>IF(OR(OIT!#REF!="",OIT!#REF!=""),"",OIT!#REF!-OIT!#REF!)</f>
        <v>#REF!</v>
      </c>
      <c r="O575" s="9">
        <f t="shared" si="32"/>
        <v>0</v>
      </c>
      <c r="P575" s="9">
        <f t="shared" si="33"/>
        <v>83643.92885667154</v>
      </c>
      <c r="Q575" s="9" t="str">
        <f t="shared" si="34"/>
        <v/>
      </c>
      <c r="R575" s="9">
        <f t="shared" si="35"/>
        <v>443817.02288360248</v>
      </c>
    </row>
    <row r="576" spans="1:18" ht="15.5">
      <c r="A576" s="7" t="s">
        <v>30</v>
      </c>
      <c r="B576" s="7" t="s">
        <v>31</v>
      </c>
      <c r="C576" s="8">
        <v>2024</v>
      </c>
      <c r="D576" s="9"/>
      <c r="E576" s="9"/>
      <c r="F576" s="9"/>
      <c r="G576" s="9"/>
      <c r="H576" s="9"/>
      <c r="I576" s="9"/>
      <c r="J576" s="9"/>
      <c r="K576" s="9"/>
      <c r="L576" s="9" t="e">
        <f>IF(OR(OIT!#REF!="",OIT!#REF!=""),"",OIT!#REF!-OIT!#REF!)</f>
        <v>#REF!</v>
      </c>
      <c r="M576" s="9" t="e">
        <f>IF(OR(OIT!#REF!="",OIT!#REF!=""),"",OIT!#REF!-OIT!#REF!)</f>
        <v>#REF!</v>
      </c>
      <c r="N576" s="9" t="e">
        <f>IF(OR(OIT!#REF!="",OIT!#REF!=""),"",OIT!#REF!-OIT!#REF!)</f>
        <v>#REF!</v>
      </c>
      <c r="O576" s="9">
        <f t="shared" si="32"/>
        <v>0</v>
      </c>
      <c r="P576" s="9" t="str">
        <f t="shared" si="33"/>
        <v/>
      </c>
      <c r="Q576" s="9" t="str">
        <f t="shared" si="34"/>
        <v/>
      </c>
      <c r="R576" s="9" t="str">
        <f t="shared" si="35"/>
        <v/>
      </c>
    </row>
    <row r="577" spans="1:18" ht="15.5">
      <c r="A577" s="7" t="s">
        <v>30</v>
      </c>
      <c r="B577" s="7" t="s">
        <v>31</v>
      </c>
      <c r="C577" s="8">
        <v>2025</v>
      </c>
      <c r="D577" s="9"/>
      <c r="E577" s="9"/>
      <c r="F577" s="9"/>
      <c r="G577" s="9"/>
      <c r="H577" s="9"/>
      <c r="I577" s="9"/>
      <c r="J577" s="9"/>
      <c r="K577" s="9"/>
      <c r="L577" s="9" t="e">
        <f>IF(OR(OIT!#REF!="",OIT!#REF!=""),"",OIT!#REF!-OIT!#REF!)</f>
        <v>#REF!</v>
      </c>
      <c r="M577" s="9" t="e">
        <f>IF(OR(OIT!#REF!="",OIT!#REF!=""),"",OIT!#REF!-OIT!#REF!)</f>
        <v>#REF!</v>
      </c>
      <c r="N577" s="9" t="e">
        <f>IF(OR(OIT!#REF!="",OIT!#REF!=""),"",OIT!#REF!-OIT!#REF!)</f>
        <v>#REF!</v>
      </c>
      <c r="O577" s="9">
        <f t="shared" si="32"/>
        <v>0</v>
      </c>
      <c r="P577" s="9" t="str">
        <f t="shared" si="33"/>
        <v/>
      </c>
      <c r="Q577" s="9" t="str">
        <f t="shared" si="34"/>
        <v/>
      </c>
      <c r="R577" s="9" t="str">
        <f t="shared" si="35"/>
        <v/>
      </c>
    </row>
    <row r="578" spans="1:18" ht="15.5">
      <c r="A578" s="7" t="s">
        <v>32</v>
      </c>
      <c r="B578" s="7" t="s">
        <v>33</v>
      </c>
      <c r="C578" s="8">
        <v>1990</v>
      </c>
      <c r="D578" s="9">
        <v>4.0357469999999998</v>
      </c>
      <c r="E578" s="9">
        <v>1.4676558971405</v>
      </c>
      <c r="F578" s="9"/>
      <c r="G578" s="9">
        <v>2.03635907173157</v>
      </c>
      <c r="H578" s="9">
        <v>35490.6171875</v>
      </c>
      <c r="I578" s="9">
        <v>154083.734375</v>
      </c>
      <c r="J578" s="9">
        <v>0.930303275585175</v>
      </c>
      <c r="K578" s="9">
        <v>0.46514391899108898</v>
      </c>
      <c r="L578" s="9" t="e">
        <f>IF(OR(OIT!#REF!="",OIT!#REF!=""),"",OIT!#REF!-OIT!#REF!)</f>
        <v>#REF!</v>
      </c>
      <c r="M578" s="9" t="e">
        <f>IF(OR(OIT!#REF!="",OIT!#REF!=""),"",OIT!#REF!-OIT!#REF!)</f>
        <v>#REF!</v>
      </c>
      <c r="N578" s="9" t="e">
        <f>IF(OR(OIT!#REF!="",OIT!#REF!=""),"",OIT!#REF!-OIT!#REF!)</f>
        <v>#REF!</v>
      </c>
      <c r="O578" s="9">
        <f t="shared" ref="O578:O641" si="36">IFERROR(E578*F578,"")</f>
        <v>0</v>
      </c>
      <c r="P578" s="9">
        <f t="shared" ref="P578:P641" si="37">IFERROR(H578/E578,"")</f>
        <v>24181.838029369123</v>
      </c>
      <c r="Q578" s="9" t="str">
        <f t="shared" ref="Q578:Q641" si="38">IFERROR(H578/(E578*F578),"")</f>
        <v/>
      </c>
      <c r="R578" s="9">
        <f t="shared" ref="R578:R641" si="39">IFERROR(I578/E578,"")</f>
        <v>104986.28096354756</v>
      </c>
    </row>
    <row r="579" spans="1:18" ht="15.5">
      <c r="A579" s="7" t="s">
        <v>32</v>
      </c>
      <c r="B579" s="7" t="s">
        <v>33</v>
      </c>
      <c r="C579" s="8">
        <v>1991</v>
      </c>
      <c r="D579" s="9">
        <v>4.1443640000000004</v>
      </c>
      <c r="E579" s="9">
        <v>1.5102301836013801</v>
      </c>
      <c r="F579" s="9"/>
      <c r="G579" s="9">
        <v>2.0518550872802699</v>
      </c>
      <c r="H579" s="9">
        <v>36366.71484375</v>
      </c>
      <c r="I579" s="9">
        <v>163615.03125</v>
      </c>
      <c r="J579" s="9">
        <v>0.90531659126281705</v>
      </c>
      <c r="K579" s="9">
        <v>0.46514391899108898</v>
      </c>
      <c r="L579" s="9" t="e">
        <f>IF(OR(OIT!#REF!="",OIT!#REF!=""),"",OIT!#REF!-OIT!#REF!)</f>
        <v>#REF!</v>
      </c>
      <c r="M579" s="9" t="e">
        <f>IF(OR(OIT!#REF!="",OIT!#REF!=""),"",OIT!#REF!-OIT!#REF!)</f>
        <v>#REF!</v>
      </c>
      <c r="N579" s="9" t="e">
        <f>IF(OR(OIT!#REF!="",OIT!#REF!=""),"",OIT!#REF!-OIT!#REF!)</f>
        <v>#REF!</v>
      </c>
      <c r="O579" s="9">
        <f t="shared" si="36"/>
        <v>0</v>
      </c>
      <c r="P579" s="9">
        <f t="shared" si="37"/>
        <v>24080.246335050648</v>
      </c>
      <c r="Q579" s="9" t="str">
        <f t="shared" si="38"/>
        <v/>
      </c>
      <c r="R579" s="9">
        <f t="shared" si="39"/>
        <v>108337.81037261113</v>
      </c>
    </row>
    <row r="580" spans="1:18" ht="15.5">
      <c r="A580" s="7" t="s">
        <v>32</v>
      </c>
      <c r="B580" s="7" t="s">
        <v>33</v>
      </c>
      <c r="C580" s="8">
        <v>1992</v>
      </c>
      <c r="D580" s="9">
        <v>4.2535999999999996</v>
      </c>
      <c r="E580" s="9">
        <v>1.5471113920211801</v>
      </c>
      <c r="F580" s="9"/>
      <c r="G580" s="9">
        <v>2.0674691200256299</v>
      </c>
      <c r="H580" s="9">
        <v>37021.3203125</v>
      </c>
      <c r="I580" s="9">
        <v>171589.234375</v>
      </c>
      <c r="J580" s="9">
        <v>0.88557100296020497</v>
      </c>
      <c r="K580" s="9">
        <v>0.46514391899108898</v>
      </c>
      <c r="L580" s="9" t="e">
        <f>IF(OR(OIT!#REF!="",OIT!#REF!=""),"",OIT!#REF!-OIT!#REF!)</f>
        <v>#REF!</v>
      </c>
      <c r="M580" s="9" t="e">
        <f>IF(OR(OIT!#REF!="",OIT!#REF!=""),"",OIT!#REF!-OIT!#REF!)</f>
        <v>#REF!</v>
      </c>
      <c r="N580" s="9" t="e">
        <f>IF(OR(OIT!#REF!="",OIT!#REF!=""),"",OIT!#REF!-OIT!#REF!)</f>
        <v>#REF!</v>
      </c>
      <c r="O580" s="9">
        <f t="shared" si="36"/>
        <v>0</v>
      </c>
      <c r="P580" s="9">
        <f t="shared" si="37"/>
        <v>23929.317891024344</v>
      </c>
      <c r="Q580" s="9" t="str">
        <f t="shared" si="38"/>
        <v/>
      </c>
      <c r="R580" s="9">
        <f t="shared" si="39"/>
        <v>110909.42466064585</v>
      </c>
    </row>
    <row r="581" spans="1:18" ht="15.5">
      <c r="A581" s="7" t="s">
        <v>32</v>
      </c>
      <c r="B581" s="7" t="s">
        <v>33</v>
      </c>
      <c r="C581" s="8">
        <v>1993</v>
      </c>
      <c r="D581" s="9">
        <v>4.3626959999999997</v>
      </c>
      <c r="E581" s="9">
        <v>1.58909022808075</v>
      </c>
      <c r="F581" s="9"/>
      <c r="G581" s="9">
        <v>2.08320188522339</v>
      </c>
      <c r="H581" s="9">
        <v>38554.70703125</v>
      </c>
      <c r="I581" s="9">
        <v>179576.984375</v>
      </c>
      <c r="J581" s="9">
        <v>0.87958413362503096</v>
      </c>
      <c r="K581" s="9">
        <v>0.46514391899108898</v>
      </c>
      <c r="L581" s="9" t="e">
        <f>IF(OR(OIT!#REF!="",OIT!#REF!=""),"",OIT!#REF!-OIT!#REF!)</f>
        <v>#REF!</v>
      </c>
      <c r="M581" s="9" t="e">
        <f>IF(OR(OIT!#REF!="",OIT!#REF!=""),"",OIT!#REF!-OIT!#REF!)</f>
        <v>#REF!</v>
      </c>
      <c r="N581" s="9" t="e">
        <f>IF(OR(OIT!#REF!="",OIT!#REF!=""),"",OIT!#REF!-OIT!#REF!)</f>
        <v>#REF!</v>
      </c>
      <c r="O581" s="9">
        <f t="shared" si="36"/>
        <v>0</v>
      </c>
      <c r="P581" s="9">
        <f t="shared" si="37"/>
        <v>24262.12580629552</v>
      </c>
      <c r="Q581" s="9" t="str">
        <f t="shared" si="38"/>
        <v/>
      </c>
      <c r="R581" s="9">
        <f t="shared" si="39"/>
        <v>113006.15987796179</v>
      </c>
    </row>
    <row r="582" spans="1:18" ht="15.5">
      <c r="A582" s="7" t="s">
        <v>32</v>
      </c>
      <c r="B582" s="7" t="s">
        <v>33</v>
      </c>
      <c r="C582" s="8">
        <v>1994</v>
      </c>
      <c r="D582" s="9">
        <v>4.4714169999999998</v>
      </c>
      <c r="E582" s="9">
        <v>1.64595794677734</v>
      </c>
      <c r="F582" s="9"/>
      <c r="G582" s="9">
        <v>2.0990545749664302</v>
      </c>
      <c r="H582" s="9">
        <v>39747.65234375</v>
      </c>
      <c r="I582" s="9">
        <v>187869.78125</v>
      </c>
      <c r="J582" s="9">
        <v>0.86018729209899902</v>
      </c>
      <c r="K582" s="9">
        <v>0.46514391899108898</v>
      </c>
      <c r="L582" s="9" t="e">
        <f>IF(OR(OIT!#REF!="",OIT!#REF!=""),"",OIT!#REF!-OIT!#REF!)</f>
        <v>#REF!</v>
      </c>
      <c r="M582" s="9" t="e">
        <f>IF(OR(OIT!#REF!="",OIT!#REF!=""),"",OIT!#REF!-OIT!#REF!)</f>
        <v>#REF!</v>
      </c>
      <c r="N582" s="9" t="e">
        <f>IF(OR(OIT!#REF!="",OIT!#REF!=""),"",OIT!#REF!-OIT!#REF!)</f>
        <v>#REF!</v>
      </c>
      <c r="O582" s="9">
        <f t="shared" si="36"/>
        <v>0</v>
      </c>
      <c r="P582" s="9">
        <f t="shared" si="37"/>
        <v>24148.643907684804</v>
      </c>
      <c r="Q582" s="9" t="str">
        <f t="shared" si="38"/>
        <v/>
      </c>
      <c r="R582" s="9">
        <f t="shared" si="39"/>
        <v>114140.08578884698</v>
      </c>
    </row>
    <row r="583" spans="1:18" ht="15.5">
      <c r="A583" s="7" t="s">
        <v>32</v>
      </c>
      <c r="B583" s="7" t="s">
        <v>33</v>
      </c>
      <c r="C583" s="8">
        <v>1995</v>
      </c>
      <c r="D583" s="9">
        <v>4.5798059999999996</v>
      </c>
      <c r="E583" s="9">
        <v>1.7155615091323899</v>
      </c>
      <c r="F583" s="9"/>
      <c r="G583" s="9">
        <v>2.1150276660919198</v>
      </c>
      <c r="H583" s="9">
        <v>41909.2578125</v>
      </c>
      <c r="I583" s="9">
        <v>196148.15625</v>
      </c>
      <c r="J583" s="9">
        <v>0.85944944620132502</v>
      </c>
      <c r="K583" s="9">
        <v>0.47242167592048601</v>
      </c>
      <c r="L583" s="9" t="e">
        <f>IF(OR(OIT!#REF!="",OIT!#REF!=""),"",OIT!#REF!-OIT!#REF!)</f>
        <v>#REF!</v>
      </c>
      <c r="M583" s="9" t="e">
        <f>IF(OR(OIT!#REF!="",OIT!#REF!=""),"",OIT!#REF!-OIT!#REF!)</f>
        <v>#REF!</v>
      </c>
      <c r="N583" s="9" t="e">
        <f>IF(OR(OIT!#REF!="",OIT!#REF!=""),"",OIT!#REF!-OIT!#REF!)</f>
        <v>#REF!</v>
      </c>
      <c r="O583" s="9">
        <f t="shared" si="36"/>
        <v>0</v>
      </c>
      <c r="P583" s="9">
        <f t="shared" si="37"/>
        <v>24428.886746062955</v>
      </c>
      <c r="Q583" s="9" t="str">
        <f t="shared" si="38"/>
        <v/>
      </c>
      <c r="R583" s="9">
        <f t="shared" si="39"/>
        <v>114334.66839040817</v>
      </c>
    </row>
    <row r="584" spans="1:18" ht="15.5">
      <c r="A584" s="7" t="s">
        <v>32</v>
      </c>
      <c r="B584" s="7" t="s">
        <v>33</v>
      </c>
      <c r="C584" s="8">
        <v>1996</v>
      </c>
      <c r="D584" s="9">
        <v>4.6875429999999998</v>
      </c>
      <c r="E584" s="9">
        <v>1.67090857028961</v>
      </c>
      <c r="F584" s="9"/>
      <c r="G584" s="9">
        <v>2.1047589778900102</v>
      </c>
      <c r="H584" s="9">
        <v>42083.62890625</v>
      </c>
      <c r="I584" s="9">
        <v>203696.390625</v>
      </c>
      <c r="J584" s="9">
        <v>0.85749030113220204</v>
      </c>
      <c r="K584" s="9">
        <v>0.48752170801162698</v>
      </c>
      <c r="L584" s="9" t="e">
        <f>IF(OR(OIT!#REF!="",OIT!#REF!=""),"",OIT!#REF!-OIT!#REF!)</f>
        <v>#REF!</v>
      </c>
      <c r="M584" s="9" t="e">
        <f>IF(OR(OIT!#REF!="",OIT!#REF!=""),"",OIT!#REF!-OIT!#REF!)</f>
        <v>#REF!</v>
      </c>
      <c r="N584" s="9" t="e">
        <f>IF(OR(OIT!#REF!="",OIT!#REF!=""),"",OIT!#REF!-OIT!#REF!)</f>
        <v>#REF!</v>
      </c>
      <c r="O584" s="9">
        <f t="shared" si="36"/>
        <v>0</v>
      </c>
      <c r="P584" s="9">
        <f t="shared" si="37"/>
        <v>25186.07520156286</v>
      </c>
      <c r="Q584" s="9" t="str">
        <f t="shared" si="38"/>
        <v/>
      </c>
      <c r="R584" s="9">
        <f t="shared" si="39"/>
        <v>121907.56229689716</v>
      </c>
    </row>
    <row r="585" spans="1:18" ht="15.5">
      <c r="A585" s="7" t="s">
        <v>32</v>
      </c>
      <c r="B585" s="7" t="s">
        <v>33</v>
      </c>
      <c r="C585" s="8">
        <v>1997</v>
      </c>
      <c r="D585" s="9">
        <v>4.7944120000000003</v>
      </c>
      <c r="E585" s="9">
        <v>1.7723908424377399</v>
      </c>
      <c r="F585" s="9"/>
      <c r="G585" s="9">
        <v>2.0945401191711399</v>
      </c>
      <c r="H585" s="9">
        <v>43340.3046875</v>
      </c>
      <c r="I585" s="9">
        <v>210860.5625</v>
      </c>
      <c r="J585" s="9">
        <v>0.84253573417663596</v>
      </c>
      <c r="K585" s="9">
        <v>0.51698076725006104</v>
      </c>
      <c r="L585" s="9" t="e">
        <f>IF(OR(OIT!#REF!="",OIT!#REF!=""),"",OIT!#REF!-OIT!#REF!)</f>
        <v>#REF!</v>
      </c>
      <c r="M585" s="9" t="e">
        <f>IF(OR(OIT!#REF!="",OIT!#REF!=""),"",OIT!#REF!-OIT!#REF!)</f>
        <v>#REF!</v>
      </c>
      <c r="N585" s="9" t="e">
        <f>IF(OR(OIT!#REF!="",OIT!#REF!=""),"",OIT!#REF!-OIT!#REF!)</f>
        <v>#REF!</v>
      </c>
      <c r="O585" s="9">
        <f t="shared" si="36"/>
        <v>0</v>
      </c>
      <c r="P585" s="9">
        <f t="shared" si="37"/>
        <v>24453.017725983002</v>
      </c>
      <c r="Q585" s="9" t="str">
        <f t="shared" si="38"/>
        <v/>
      </c>
      <c r="R585" s="9">
        <f t="shared" si="39"/>
        <v>118969.56215931648</v>
      </c>
    </row>
    <row r="586" spans="1:18" ht="15.5">
      <c r="A586" s="7" t="s">
        <v>32</v>
      </c>
      <c r="B586" s="7" t="s">
        <v>33</v>
      </c>
      <c r="C586" s="8">
        <v>1998</v>
      </c>
      <c r="D586" s="9">
        <v>4.9000250000000003</v>
      </c>
      <c r="E586" s="9">
        <v>1.8344978094101001</v>
      </c>
      <c r="F586" s="9"/>
      <c r="G586" s="9">
        <v>2.0843708515167201</v>
      </c>
      <c r="H586" s="9">
        <v>43595.84765625</v>
      </c>
      <c r="I586" s="9">
        <v>215560.71875</v>
      </c>
      <c r="J586" s="9">
        <v>0.82563787698745705</v>
      </c>
      <c r="K586" s="9">
        <v>0.50211560726165805</v>
      </c>
      <c r="L586" s="9" t="e">
        <f>IF(OR(OIT!#REF!="",OIT!#REF!=""),"",OIT!#REF!-OIT!#REF!)</f>
        <v>#REF!</v>
      </c>
      <c r="M586" s="9" t="e">
        <f>IF(OR(OIT!#REF!="",OIT!#REF!=""),"",OIT!#REF!-OIT!#REF!)</f>
        <v>#REF!</v>
      </c>
      <c r="N586" s="9" t="e">
        <f>IF(OR(OIT!#REF!="",OIT!#REF!=""),"",OIT!#REF!-OIT!#REF!)</f>
        <v>#REF!</v>
      </c>
      <c r="O586" s="9">
        <f t="shared" si="36"/>
        <v>0</v>
      </c>
      <c r="P586" s="9">
        <f t="shared" si="37"/>
        <v>23764.45882498418</v>
      </c>
      <c r="Q586" s="9" t="str">
        <f t="shared" si="38"/>
        <v/>
      </c>
      <c r="R586" s="9">
        <f t="shared" si="39"/>
        <v>117503.9390313121</v>
      </c>
    </row>
    <row r="587" spans="1:18" ht="15.5">
      <c r="A587" s="7" t="s">
        <v>32</v>
      </c>
      <c r="B587" s="7" t="s">
        <v>33</v>
      </c>
      <c r="C587" s="8">
        <v>1999</v>
      </c>
      <c r="D587" s="9">
        <v>5.0031350000000003</v>
      </c>
      <c r="E587" s="9">
        <v>1.8595539331436199</v>
      </c>
      <c r="F587" s="9"/>
      <c r="G587" s="9">
        <v>2.07425093650818</v>
      </c>
      <c r="H587" s="9">
        <v>42943.4609375</v>
      </c>
      <c r="I587" s="9">
        <v>218774.96875</v>
      </c>
      <c r="J587" s="9">
        <v>0.80712759494781505</v>
      </c>
      <c r="K587" s="9">
        <v>0.50410145521163896</v>
      </c>
      <c r="L587" s="9" t="e">
        <f>IF(OR(OIT!#REF!="",OIT!#REF!=""),"",OIT!#REF!-OIT!#REF!)</f>
        <v>#REF!</v>
      </c>
      <c r="M587" s="9" t="e">
        <f>IF(OR(OIT!#REF!="",OIT!#REF!=""),"",OIT!#REF!-OIT!#REF!)</f>
        <v>#REF!</v>
      </c>
      <c r="N587" s="9" t="e">
        <f>IF(OR(OIT!#REF!="",OIT!#REF!=""),"",OIT!#REF!-OIT!#REF!)</f>
        <v>#REF!</v>
      </c>
      <c r="O587" s="9">
        <f t="shared" si="36"/>
        <v>0</v>
      </c>
      <c r="P587" s="9">
        <f t="shared" si="37"/>
        <v>23093.420509134179</v>
      </c>
      <c r="Q587" s="9" t="str">
        <f t="shared" si="38"/>
        <v/>
      </c>
      <c r="R587" s="9">
        <f t="shared" si="39"/>
        <v>117649.16566854059</v>
      </c>
    </row>
    <row r="588" spans="1:18" ht="15.5">
      <c r="A588" s="7" t="s">
        <v>32</v>
      </c>
      <c r="B588" s="7" t="s">
        <v>33</v>
      </c>
      <c r="C588" s="8">
        <v>2000</v>
      </c>
      <c r="D588" s="9">
        <v>5.1008680000000002</v>
      </c>
      <c r="E588" s="9">
        <v>1.8535952568054199</v>
      </c>
      <c r="F588" s="9"/>
      <c r="G588" s="9">
        <v>2.06418013572693</v>
      </c>
      <c r="H588" s="9">
        <v>41515.421875</v>
      </c>
      <c r="I588" s="9">
        <v>222024</v>
      </c>
      <c r="J588" s="9">
        <v>0.78113031387329102</v>
      </c>
      <c r="K588" s="9">
        <v>0.51538169384002697</v>
      </c>
      <c r="L588" s="9" t="e">
        <f>IF(OR(OIT!#REF!="",OIT!#REF!=""),"",OIT!#REF!-OIT!#REF!)</f>
        <v>#REF!</v>
      </c>
      <c r="M588" s="9" t="e">
        <f>IF(OR(OIT!#REF!="",OIT!#REF!=""),"",OIT!#REF!-OIT!#REF!)</f>
        <v>#REF!</v>
      </c>
      <c r="N588" s="9" t="e">
        <f>IF(OR(OIT!#REF!="",OIT!#REF!=""),"",OIT!#REF!-OIT!#REF!)</f>
        <v>#REF!</v>
      </c>
      <c r="O588" s="9">
        <f t="shared" si="36"/>
        <v>0</v>
      </c>
      <c r="P588" s="9">
        <f t="shared" si="37"/>
        <v>22397.242182497695</v>
      </c>
      <c r="Q588" s="9" t="str">
        <f t="shared" si="38"/>
        <v/>
      </c>
      <c r="R588" s="9">
        <f t="shared" si="39"/>
        <v>119780.1942926027</v>
      </c>
    </row>
    <row r="589" spans="1:18" ht="15.5">
      <c r="A589" s="7" t="s">
        <v>32</v>
      </c>
      <c r="B589" s="7" t="s">
        <v>33</v>
      </c>
      <c r="C589" s="8">
        <v>2001</v>
      </c>
      <c r="D589" s="9">
        <v>5.1876889999999998</v>
      </c>
      <c r="E589" s="9">
        <v>1.9188935756683401</v>
      </c>
      <c r="F589" s="9"/>
      <c r="G589" s="9">
        <v>2.1061277389526398</v>
      </c>
      <c r="H589" s="9">
        <v>42366.65234375</v>
      </c>
      <c r="I589" s="9">
        <v>224806.265625</v>
      </c>
      <c r="J589" s="9">
        <v>0.77899646759033203</v>
      </c>
      <c r="K589" s="9">
        <v>0.47364804148674</v>
      </c>
      <c r="L589" s="9" t="e">
        <f>IF(OR(OIT!#REF!="",OIT!#REF!=""),"",OIT!#REF!-OIT!#REF!)</f>
        <v>#REF!</v>
      </c>
      <c r="M589" s="9" t="e">
        <f>IF(OR(OIT!#REF!="",OIT!#REF!=""),"",OIT!#REF!-OIT!#REF!)</f>
        <v>#REF!</v>
      </c>
      <c r="N589" s="9" t="e">
        <f>IF(OR(OIT!#REF!="",OIT!#REF!=""),"",OIT!#REF!-OIT!#REF!)</f>
        <v>#REF!</v>
      </c>
      <c r="O589" s="9">
        <f t="shared" si="36"/>
        <v>0</v>
      </c>
      <c r="P589" s="9">
        <f t="shared" si="37"/>
        <v>22078.687886061594</v>
      </c>
      <c r="Q589" s="9" t="str">
        <f t="shared" si="38"/>
        <v/>
      </c>
      <c r="R589" s="9">
        <f t="shared" si="39"/>
        <v>117154.10821921233</v>
      </c>
    </row>
    <row r="590" spans="1:18" ht="15.5">
      <c r="A590" s="7" t="s">
        <v>32</v>
      </c>
      <c r="B590" s="7" t="s">
        <v>33</v>
      </c>
      <c r="C590" s="8">
        <v>2002</v>
      </c>
      <c r="D590" s="9">
        <v>5.2613279999999998</v>
      </c>
      <c r="E590" s="9">
        <v>1.88404476642609</v>
      </c>
      <c r="F590" s="9"/>
      <c r="G590" s="9">
        <v>2.1489274501800502</v>
      </c>
      <c r="H590" s="9">
        <v>48733.75390625</v>
      </c>
      <c r="I590" s="9">
        <v>227579.625</v>
      </c>
      <c r="J590" s="9">
        <v>0.89737856388091997</v>
      </c>
      <c r="K590" s="9">
        <v>0.45050352811813399</v>
      </c>
      <c r="L590" s="9" t="e">
        <f>IF(OR(OIT!#REF!="",OIT!#REF!=""),"",OIT!#REF!-OIT!#REF!)</f>
        <v>#REF!</v>
      </c>
      <c r="M590" s="9" t="e">
        <f>IF(OR(OIT!#REF!="",OIT!#REF!=""),"",OIT!#REF!-OIT!#REF!)</f>
        <v>#REF!</v>
      </c>
      <c r="N590" s="9" t="e">
        <f>IF(OR(OIT!#REF!="",OIT!#REF!=""),"",OIT!#REF!-OIT!#REF!)</f>
        <v>#REF!</v>
      </c>
      <c r="O590" s="9">
        <f t="shared" si="36"/>
        <v>0</v>
      </c>
      <c r="P590" s="9">
        <f t="shared" si="37"/>
        <v>25866.558361399635</v>
      </c>
      <c r="Q590" s="9" t="str">
        <f t="shared" si="38"/>
        <v/>
      </c>
      <c r="R590" s="9">
        <f t="shared" si="39"/>
        <v>120793.10908928332</v>
      </c>
    </row>
    <row r="591" spans="1:18" ht="15.5">
      <c r="A591" s="7" t="s">
        <v>32</v>
      </c>
      <c r="B591" s="7" t="s">
        <v>33</v>
      </c>
      <c r="C591" s="8">
        <v>2003</v>
      </c>
      <c r="D591" s="9">
        <v>5.3264360000000002</v>
      </c>
      <c r="E591" s="9">
        <v>1.93758392333984</v>
      </c>
      <c r="F591" s="9"/>
      <c r="G591" s="9">
        <v>2.1925973892211901</v>
      </c>
      <c r="H591" s="9">
        <v>50839.4140625</v>
      </c>
      <c r="I591" s="9">
        <v>232134.625</v>
      </c>
      <c r="J591" s="9">
        <v>0.91096413135528598</v>
      </c>
      <c r="K591" s="9">
        <v>0.43733733892440801</v>
      </c>
      <c r="L591" s="9" t="e">
        <f>IF(OR(OIT!#REF!="",OIT!#REF!=""),"",OIT!#REF!-OIT!#REF!)</f>
        <v>#REF!</v>
      </c>
      <c r="M591" s="9" t="e">
        <f>IF(OR(OIT!#REF!="",OIT!#REF!=""),"",OIT!#REF!-OIT!#REF!)</f>
        <v>#REF!</v>
      </c>
      <c r="N591" s="9" t="e">
        <f>IF(OR(OIT!#REF!="",OIT!#REF!=""),"",OIT!#REF!-OIT!#REF!)</f>
        <v>#REF!</v>
      </c>
      <c r="O591" s="9">
        <f t="shared" si="36"/>
        <v>0</v>
      </c>
      <c r="P591" s="9">
        <f t="shared" si="37"/>
        <v>26238.56105023178</v>
      </c>
      <c r="Q591" s="9" t="str">
        <f t="shared" si="38"/>
        <v/>
      </c>
      <c r="R591" s="9">
        <f t="shared" si="39"/>
        <v>119806.22991538161</v>
      </c>
    </row>
    <row r="592" spans="1:18" ht="15.5">
      <c r="A592" s="7" t="s">
        <v>32</v>
      </c>
      <c r="B592" s="7" t="s">
        <v>33</v>
      </c>
      <c r="C592" s="8">
        <v>2004</v>
      </c>
      <c r="D592" s="9">
        <v>5.3881750000000004</v>
      </c>
      <c r="E592" s="9">
        <v>2.0880141258239702</v>
      </c>
      <c r="F592" s="9"/>
      <c r="G592" s="9">
        <v>2.23715424537659</v>
      </c>
      <c r="H592" s="9">
        <v>52902.18359375</v>
      </c>
      <c r="I592" s="9">
        <v>237227.375</v>
      </c>
      <c r="J592" s="9">
        <v>0.89758908748626698</v>
      </c>
      <c r="K592" s="9">
        <v>0.435817450284958</v>
      </c>
      <c r="L592" s="9" t="e">
        <f>IF(OR(OIT!#REF!="",OIT!#REF!=""),"",OIT!#REF!-OIT!#REF!)</f>
        <v>#REF!</v>
      </c>
      <c r="M592" s="9" t="e">
        <f>IF(OR(OIT!#REF!="",OIT!#REF!=""),"",OIT!#REF!-OIT!#REF!)</f>
        <v>#REF!</v>
      </c>
      <c r="N592" s="9" t="e">
        <f>IF(OR(OIT!#REF!="",OIT!#REF!=""),"",OIT!#REF!-OIT!#REF!)</f>
        <v>#REF!</v>
      </c>
      <c r="O592" s="9">
        <f t="shared" si="36"/>
        <v>0</v>
      </c>
      <c r="P592" s="9">
        <f t="shared" si="37"/>
        <v>25336.123419602725</v>
      </c>
      <c r="Q592" s="9" t="str">
        <f t="shared" si="38"/>
        <v/>
      </c>
      <c r="R592" s="9">
        <f t="shared" si="39"/>
        <v>113613.87457394981</v>
      </c>
    </row>
    <row r="593" spans="1:18" ht="15.5">
      <c r="A593" s="7" t="s">
        <v>32</v>
      </c>
      <c r="B593" s="7" t="s">
        <v>33</v>
      </c>
      <c r="C593" s="8">
        <v>2005</v>
      </c>
      <c r="D593" s="9">
        <v>5.4480969999999997</v>
      </c>
      <c r="E593" s="9">
        <v>2.1283400058746298</v>
      </c>
      <c r="F593" s="9">
        <v>2266.34</v>
      </c>
      <c r="G593" s="9">
        <v>2.2826170921325701</v>
      </c>
      <c r="H593" s="9">
        <v>54030.84765625</v>
      </c>
      <c r="I593" s="9">
        <v>242498.03125</v>
      </c>
      <c r="J593" s="9">
        <v>0.887337446212769</v>
      </c>
      <c r="K593" s="9">
        <v>0.43640372157096902</v>
      </c>
      <c r="L593" s="9" t="e">
        <f>IF(OR(OIT!#REF!="",OIT!#REF!=""),"",OIT!#REF!-OIT!#REF!)</f>
        <v>#REF!</v>
      </c>
      <c r="M593" s="9" t="e">
        <f>IF(OR(OIT!#REF!="",OIT!#REF!=""),"",OIT!#REF!-OIT!#REF!)</f>
        <v>#REF!</v>
      </c>
      <c r="N593" s="9" t="e">
        <f>IF(OR(OIT!#REF!="",OIT!#REF!=""),"",OIT!#REF!-OIT!#REF!)</f>
        <v>#REF!</v>
      </c>
      <c r="O593" s="9">
        <f t="shared" si="36"/>
        <v>4823.5420889139086</v>
      </c>
      <c r="P593" s="9">
        <f t="shared" si="37"/>
        <v>25386.379764095218</v>
      </c>
      <c r="Q593" s="9">
        <f t="shared" si="38"/>
        <v>11.201487757395279</v>
      </c>
      <c r="R593" s="9">
        <f t="shared" si="39"/>
        <v>113937.63711655965</v>
      </c>
    </row>
    <row r="594" spans="1:18" ht="15.5">
      <c r="A594" s="7" t="s">
        <v>32</v>
      </c>
      <c r="B594" s="7" t="s">
        <v>33</v>
      </c>
      <c r="C594" s="8">
        <v>2006</v>
      </c>
      <c r="D594" s="9">
        <v>5.5051480000000002</v>
      </c>
      <c r="E594" s="9">
        <v>2.0531463623046902</v>
      </c>
      <c r="F594" s="9">
        <v>2303.85</v>
      </c>
      <c r="G594" s="9">
        <v>2.3000233173370401</v>
      </c>
      <c r="H594" s="9">
        <v>56628.17578125</v>
      </c>
      <c r="I594" s="9">
        <v>248096.578125</v>
      </c>
      <c r="J594" s="9">
        <v>0.91974478960037198</v>
      </c>
      <c r="K594" s="9">
        <v>0.44303560256958002</v>
      </c>
      <c r="L594" s="9" t="e">
        <f>IF(OR(OIT!#REF!="",OIT!#REF!=""),"",OIT!#REF!-OIT!#REF!)</f>
        <v>#REF!</v>
      </c>
      <c r="M594" s="9" t="e">
        <f>IF(OR(OIT!#REF!="",OIT!#REF!=""),"",OIT!#REF!-OIT!#REF!)</f>
        <v>#REF!</v>
      </c>
      <c r="N594" s="9" t="e">
        <f>IF(OR(OIT!#REF!="",OIT!#REF!=""),"",OIT!#REF!-OIT!#REF!)</f>
        <v>#REF!</v>
      </c>
      <c r="O594" s="9">
        <f t="shared" si="36"/>
        <v>4730.1412467956607</v>
      </c>
      <c r="P594" s="9">
        <f t="shared" si="37"/>
        <v>27581.168503585857</v>
      </c>
      <c r="Q594" s="9">
        <f t="shared" si="38"/>
        <v>11.971772686410077</v>
      </c>
      <c r="R594" s="9">
        <f t="shared" si="39"/>
        <v>120837.25869718687</v>
      </c>
    </row>
    <row r="595" spans="1:18" ht="15.5">
      <c r="A595" s="7" t="s">
        <v>32</v>
      </c>
      <c r="B595" s="7" t="s">
        <v>33</v>
      </c>
      <c r="C595" s="8">
        <v>2007</v>
      </c>
      <c r="D595" s="9">
        <v>5.5593859999999999</v>
      </c>
      <c r="E595" s="9">
        <v>2.1520249843597399</v>
      </c>
      <c r="F595" s="9">
        <v>2250.36</v>
      </c>
      <c r="G595" s="9">
        <v>2.3175625801086399</v>
      </c>
      <c r="H595" s="9">
        <v>59698.34375</v>
      </c>
      <c r="I595" s="9">
        <v>255036.125</v>
      </c>
      <c r="J595" s="9">
        <v>0.94026833772659302</v>
      </c>
      <c r="K595" s="9">
        <v>0.44711339473724399</v>
      </c>
      <c r="L595" s="9" t="e">
        <f>IF(OR(OIT!#REF!="",OIT!#REF!=""),"",OIT!#REF!-OIT!#REF!)</f>
        <v>#REF!</v>
      </c>
      <c r="M595" s="9" t="e">
        <f>IF(OR(OIT!#REF!="",OIT!#REF!=""),"",OIT!#REF!-OIT!#REF!)</f>
        <v>#REF!</v>
      </c>
      <c r="N595" s="9" t="e">
        <f>IF(OR(OIT!#REF!="",OIT!#REF!=""),"",OIT!#REF!-OIT!#REF!)</f>
        <v>#REF!</v>
      </c>
      <c r="O595" s="9">
        <f t="shared" si="36"/>
        <v>4842.8309438037841</v>
      </c>
      <c r="P595" s="9">
        <f t="shared" si="37"/>
        <v>27740.543991760933</v>
      </c>
      <c r="Q595" s="9">
        <f t="shared" si="38"/>
        <v>12.327158317674032</v>
      </c>
      <c r="R595" s="9">
        <f t="shared" si="39"/>
        <v>118509.83462251816</v>
      </c>
    </row>
    <row r="596" spans="1:18" ht="15.5">
      <c r="A596" s="7" t="s">
        <v>32</v>
      </c>
      <c r="B596" s="7" t="s">
        <v>33</v>
      </c>
      <c r="C596" s="8">
        <v>2008</v>
      </c>
      <c r="D596" s="9">
        <v>5.6135739999999998</v>
      </c>
      <c r="E596" s="9">
        <v>2.20661497116089</v>
      </c>
      <c r="F596" s="9">
        <v>2257.67</v>
      </c>
      <c r="G596" s="9">
        <v>2.3352355957031299</v>
      </c>
      <c r="H596" s="9">
        <v>63576.51953125</v>
      </c>
      <c r="I596" s="9">
        <v>264396.78125</v>
      </c>
      <c r="J596" s="9">
        <v>0.96362644433975198</v>
      </c>
      <c r="K596" s="9">
        <v>0.43665820360183699</v>
      </c>
      <c r="L596" s="9" t="e">
        <f>IF(OR(OIT!#REF!="",OIT!#REF!=""),"",OIT!#REF!-OIT!#REF!)</f>
        <v>#REF!</v>
      </c>
      <c r="M596" s="9" t="e">
        <f>IF(OR(OIT!#REF!="",OIT!#REF!=""),"",OIT!#REF!-OIT!#REF!)</f>
        <v>#REF!</v>
      </c>
      <c r="N596" s="9" t="e">
        <f>IF(OR(OIT!#REF!="",OIT!#REF!=""),"",OIT!#REF!-OIT!#REF!)</f>
        <v>#REF!</v>
      </c>
      <c r="O596" s="9">
        <f t="shared" si="36"/>
        <v>4981.8084219408065</v>
      </c>
      <c r="P596" s="9">
        <f t="shared" si="37"/>
        <v>28811.786542807098</v>
      </c>
      <c r="Q596" s="9">
        <f t="shared" si="38"/>
        <v>12.761735126394511</v>
      </c>
      <c r="R596" s="9">
        <f t="shared" si="39"/>
        <v>119820.07949076049</v>
      </c>
    </row>
    <row r="597" spans="1:18" ht="15.5">
      <c r="A597" s="7" t="s">
        <v>32</v>
      </c>
      <c r="B597" s="7" t="s">
        <v>33</v>
      </c>
      <c r="C597" s="8">
        <v>2009</v>
      </c>
      <c r="D597" s="9">
        <v>5.6712360000000004</v>
      </c>
      <c r="E597" s="9">
        <v>2.2276341915130602</v>
      </c>
      <c r="F597" s="9">
        <v>2175.6999999999998</v>
      </c>
      <c r="G597" s="9">
        <v>2.3530433177947998</v>
      </c>
      <c r="H597" s="9">
        <v>63410.49609375</v>
      </c>
      <c r="I597" s="9">
        <v>272278.59375</v>
      </c>
      <c r="J597" s="9">
        <v>0.95459735393524203</v>
      </c>
      <c r="K597" s="9">
        <v>0.41944137215614302</v>
      </c>
      <c r="L597" s="9" t="e">
        <f>IF(OR(OIT!#REF!="",OIT!#REF!=""),"",OIT!#REF!-OIT!#REF!)</f>
        <v>#REF!</v>
      </c>
      <c r="M597" s="9" t="e">
        <f>IF(OR(OIT!#REF!="",OIT!#REF!=""),"",OIT!#REF!-OIT!#REF!)</f>
        <v>#REF!</v>
      </c>
      <c r="N597" s="9" t="e">
        <f>IF(OR(OIT!#REF!="",OIT!#REF!=""),"",OIT!#REF!-OIT!#REF!)</f>
        <v>#REF!</v>
      </c>
      <c r="O597" s="9">
        <f t="shared" si="36"/>
        <v>4846.6637104749643</v>
      </c>
      <c r="P597" s="9">
        <f t="shared" si="37"/>
        <v>28465.399002822873</v>
      </c>
      <c r="Q597" s="9">
        <f t="shared" si="38"/>
        <v>13.083329044823678</v>
      </c>
      <c r="R597" s="9">
        <f t="shared" si="39"/>
        <v>122227.69554684476</v>
      </c>
    </row>
    <row r="598" spans="1:18" ht="15.5">
      <c r="A598" s="7" t="s">
        <v>32</v>
      </c>
      <c r="B598" s="7" t="s">
        <v>33</v>
      </c>
      <c r="C598" s="8">
        <v>2010</v>
      </c>
      <c r="D598" s="9">
        <v>5.7379709999999999</v>
      </c>
      <c r="E598" s="9">
        <v>2.2299165725707999</v>
      </c>
      <c r="F598" s="9">
        <v>2244.12</v>
      </c>
      <c r="G598" s="9">
        <v>2.3709867000579798</v>
      </c>
      <c r="H598" s="9">
        <v>70446.03125</v>
      </c>
      <c r="I598" s="9">
        <v>284873.4375</v>
      </c>
      <c r="J598" s="9">
        <v>1.0137240886688199</v>
      </c>
      <c r="K598" s="9">
        <v>0.44809460639953602</v>
      </c>
      <c r="L598" s="9" t="e">
        <f>IF(OR(OIT!#REF!="",OIT!#REF!=""),"",OIT!#REF!-OIT!#REF!)</f>
        <v>#REF!</v>
      </c>
      <c r="M598" s="9" t="e">
        <f>IF(OR(OIT!#REF!="",OIT!#REF!=""),"",OIT!#REF!-OIT!#REF!)</f>
        <v>#REF!</v>
      </c>
      <c r="N598" s="9" t="e">
        <f>IF(OR(OIT!#REF!="",OIT!#REF!=""),"",OIT!#REF!-OIT!#REF!)</f>
        <v>#REF!</v>
      </c>
      <c r="O598" s="9">
        <f t="shared" si="36"/>
        <v>5004.2003788375832</v>
      </c>
      <c r="P598" s="9">
        <f t="shared" si="37"/>
        <v>31591.330418601719</v>
      </c>
      <c r="Q598" s="9">
        <f t="shared" si="38"/>
        <v>14.077380184037271</v>
      </c>
      <c r="R598" s="9">
        <f t="shared" si="39"/>
        <v>127750.71543218251</v>
      </c>
    </row>
    <row r="599" spans="1:18" ht="15.5">
      <c r="A599" s="7" t="s">
        <v>32</v>
      </c>
      <c r="B599" s="7" t="s">
        <v>33</v>
      </c>
      <c r="C599" s="8">
        <v>2011</v>
      </c>
      <c r="D599" s="9">
        <v>5.8146259999999996</v>
      </c>
      <c r="E599" s="9">
        <v>2.2834777832031299</v>
      </c>
      <c r="F599" s="9">
        <v>2333.35</v>
      </c>
      <c r="G599" s="9">
        <v>2.40594434738159</v>
      </c>
      <c r="H599" s="9">
        <v>73465.6171875</v>
      </c>
      <c r="I599" s="9">
        <v>297439.40625</v>
      </c>
      <c r="J599" s="9">
        <v>0.99594026803970304</v>
      </c>
      <c r="K599" s="9">
        <v>0.46483439207076999</v>
      </c>
      <c r="L599" s="9" t="e">
        <f>IF(OR(OIT!#REF!="",OIT!#REF!=""),"",OIT!#REF!-OIT!#REF!)</f>
        <v>#REF!</v>
      </c>
      <c r="M599" s="9" t="e">
        <f>IF(OR(OIT!#REF!="",OIT!#REF!=""),"",OIT!#REF!-OIT!#REF!)</f>
        <v>#REF!</v>
      </c>
      <c r="N599" s="9" t="e">
        <f>IF(OR(OIT!#REF!="",OIT!#REF!=""),"",OIT!#REF!-OIT!#REF!)</f>
        <v>#REF!</v>
      </c>
      <c r="O599" s="9">
        <f t="shared" si="36"/>
        <v>5328.1528854370226</v>
      </c>
      <c r="P599" s="9">
        <f t="shared" si="37"/>
        <v>32172.687524223118</v>
      </c>
      <c r="Q599" s="9">
        <f t="shared" si="38"/>
        <v>13.788196166123008</v>
      </c>
      <c r="R599" s="9">
        <f t="shared" si="39"/>
        <v>130257.19297026367</v>
      </c>
    </row>
    <row r="600" spans="1:18" ht="15.5">
      <c r="A600" s="7" t="s">
        <v>32</v>
      </c>
      <c r="B600" s="7" t="s">
        <v>33</v>
      </c>
      <c r="C600" s="8">
        <v>2012</v>
      </c>
      <c r="D600" s="9">
        <v>5.8970079999999996</v>
      </c>
      <c r="E600" s="9">
        <v>2.4681160449981698</v>
      </c>
      <c r="F600" s="9">
        <v>2150.12</v>
      </c>
      <c r="G600" s="9">
        <v>2.44141745567322</v>
      </c>
      <c r="H600" s="9">
        <v>72945.4453125</v>
      </c>
      <c r="I600" s="9">
        <v>307905.375</v>
      </c>
      <c r="J600" s="9">
        <v>0.97241145372390803</v>
      </c>
      <c r="K600" s="9">
        <v>0.45428216457366899</v>
      </c>
      <c r="L600" s="9" t="e">
        <f>IF(OR(OIT!#REF!="",OIT!#REF!=""),"",OIT!#REF!-OIT!#REF!)</f>
        <v>#REF!</v>
      </c>
      <c r="M600" s="9" t="e">
        <f>IF(OR(OIT!#REF!="",OIT!#REF!=""),"",OIT!#REF!-OIT!#REF!)</f>
        <v>#REF!</v>
      </c>
      <c r="N600" s="9" t="e">
        <f>IF(OR(OIT!#REF!="",OIT!#REF!=""),"",OIT!#REF!-OIT!#REF!)</f>
        <v>#REF!</v>
      </c>
      <c r="O600" s="9">
        <f t="shared" si="36"/>
        <v>5306.7456706714647</v>
      </c>
      <c r="P600" s="9">
        <f t="shared" si="37"/>
        <v>29555.111665162443</v>
      </c>
      <c r="Q600" s="9">
        <f t="shared" si="38"/>
        <v>13.745796357953251</v>
      </c>
      <c r="R600" s="9">
        <f t="shared" si="39"/>
        <v>124753.20016819886</v>
      </c>
    </row>
    <row r="601" spans="1:18" ht="15.5">
      <c r="A601" s="7" t="s">
        <v>32</v>
      </c>
      <c r="B601" s="7" t="s">
        <v>33</v>
      </c>
      <c r="C601" s="8">
        <v>2013</v>
      </c>
      <c r="D601" s="9">
        <v>5.9824450000000002</v>
      </c>
      <c r="E601" s="9">
        <v>2.4689695835113499</v>
      </c>
      <c r="F601" s="9">
        <v>2248.46</v>
      </c>
      <c r="G601" s="9">
        <v>2.4774134159088099</v>
      </c>
      <c r="H601" s="9">
        <v>78994.8671875</v>
      </c>
      <c r="I601" s="9">
        <v>320416.46875</v>
      </c>
      <c r="J601" s="9">
        <v>1.00783467292786</v>
      </c>
      <c r="K601" s="9">
        <v>0.47540324926376298</v>
      </c>
      <c r="L601" s="9" t="e">
        <f>IF(OR(OIT!#REF!="",OIT!#REF!=""),"",OIT!#REF!-OIT!#REF!)</f>
        <v>#REF!</v>
      </c>
      <c r="M601" s="9" t="e">
        <f>IF(OR(OIT!#REF!="",OIT!#REF!=""),"",OIT!#REF!-OIT!#REF!)</f>
        <v>#REF!</v>
      </c>
      <c r="N601" s="9" t="e">
        <f>IF(OR(OIT!#REF!="",OIT!#REF!=""),"",OIT!#REF!-OIT!#REF!)</f>
        <v>#REF!</v>
      </c>
      <c r="O601" s="9">
        <f t="shared" si="36"/>
        <v>5551.3793497419301</v>
      </c>
      <c r="P601" s="9">
        <f t="shared" si="37"/>
        <v>31995.075077091107</v>
      </c>
      <c r="Q601" s="9">
        <f t="shared" si="38"/>
        <v>14.229772856573435</v>
      </c>
      <c r="R601" s="9">
        <f t="shared" si="39"/>
        <v>129777.40628716297</v>
      </c>
    </row>
    <row r="602" spans="1:18" ht="15.5">
      <c r="A602" s="7" t="s">
        <v>32</v>
      </c>
      <c r="B602" s="7" t="s">
        <v>33</v>
      </c>
      <c r="C602" s="8">
        <v>2014</v>
      </c>
      <c r="D602" s="9">
        <v>6.0698109999999996</v>
      </c>
      <c r="E602" s="9">
        <v>2.4408040046691899</v>
      </c>
      <c r="F602" s="9">
        <v>2219.31</v>
      </c>
      <c r="G602" s="9">
        <v>2.5139400959014901</v>
      </c>
      <c r="H602" s="9">
        <v>83182.578125</v>
      </c>
      <c r="I602" s="9">
        <v>334742.625</v>
      </c>
      <c r="J602" s="9">
        <v>1.0457664728164699</v>
      </c>
      <c r="K602" s="9">
        <v>0.46726590394973799</v>
      </c>
      <c r="L602" s="9" t="e">
        <f>IF(OR(OIT!#REF!="",OIT!#REF!=""),"",OIT!#REF!-OIT!#REF!)</f>
        <v>#REF!</v>
      </c>
      <c r="M602" s="9" t="e">
        <f>IF(OR(OIT!#REF!="",OIT!#REF!=""),"",OIT!#REF!-OIT!#REF!)</f>
        <v>#REF!</v>
      </c>
      <c r="N602" s="9" t="e">
        <f>IF(OR(OIT!#REF!="",OIT!#REF!=""),"",OIT!#REF!-OIT!#REF!)</f>
        <v>#REF!</v>
      </c>
      <c r="O602" s="9">
        <f t="shared" si="36"/>
        <v>5416.9007356023794</v>
      </c>
      <c r="P602" s="9">
        <f t="shared" si="37"/>
        <v>34079.990841490777</v>
      </c>
      <c r="Q602" s="9">
        <f t="shared" si="38"/>
        <v>15.356120074027864</v>
      </c>
      <c r="R602" s="9">
        <f t="shared" si="39"/>
        <v>137144.40994018639</v>
      </c>
    </row>
    <row r="603" spans="1:18" ht="15.5">
      <c r="A603" s="7" t="s">
        <v>32</v>
      </c>
      <c r="B603" s="7" t="s">
        <v>33</v>
      </c>
      <c r="C603" s="8">
        <v>2015</v>
      </c>
      <c r="D603" s="9">
        <v>6.159103</v>
      </c>
      <c r="E603" s="9">
        <v>2.50782346725464</v>
      </c>
      <c r="F603" s="9">
        <v>2178.73</v>
      </c>
      <c r="G603" s="9">
        <v>2.5510056018829301</v>
      </c>
      <c r="H603" s="9">
        <v>85642.4140625</v>
      </c>
      <c r="I603" s="9">
        <v>348597.78125</v>
      </c>
      <c r="J603" s="9">
        <v>1.0457130670547501</v>
      </c>
      <c r="K603" s="9">
        <v>0.44635820388793901</v>
      </c>
      <c r="L603" s="9" t="e">
        <f>IF(OR(OIT!#REF!="",OIT!#REF!=""),"",OIT!#REF!-OIT!#REF!)</f>
        <v>#REF!</v>
      </c>
      <c r="M603" s="9" t="e">
        <f>IF(OR(OIT!#REF!="",OIT!#REF!=""),"",OIT!#REF!-OIT!#REF!)</f>
        <v>#REF!</v>
      </c>
      <c r="N603" s="9" t="e">
        <f>IF(OR(OIT!#REF!="",OIT!#REF!=""),"",OIT!#REF!-OIT!#REF!)</f>
        <v>#REF!</v>
      </c>
      <c r="O603" s="9">
        <f t="shared" si="36"/>
        <v>5463.8702228117018</v>
      </c>
      <c r="P603" s="9">
        <f t="shared" si="37"/>
        <v>34150.096759503693</v>
      </c>
      <c r="Q603" s="9">
        <f t="shared" si="38"/>
        <v>15.674313365815724</v>
      </c>
      <c r="R603" s="9">
        <f t="shared" si="39"/>
        <v>139004.11484370404</v>
      </c>
    </row>
    <row r="604" spans="1:18" ht="15.5">
      <c r="A604" s="7" t="s">
        <v>32</v>
      </c>
      <c r="B604" s="7" t="s">
        <v>33</v>
      </c>
      <c r="C604" s="8">
        <v>2016</v>
      </c>
      <c r="D604" s="9">
        <v>6.2491260000000004</v>
      </c>
      <c r="E604" s="9">
        <v>2.6195228099822998</v>
      </c>
      <c r="F604" s="9">
        <v>2153.42</v>
      </c>
      <c r="G604" s="9">
        <v>2.5792260169982901</v>
      </c>
      <c r="H604" s="9">
        <v>89297.65625</v>
      </c>
      <c r="I604" s="9">
        <v>363003.1875</v>
      </c>
      <c r="J604" s="9">
        <v>1.0495232343673699</v>
      </c>
      <c r="K604" s="9">
        <v>0.45393353700637801</v>
      </c>
      <c r="L604" s="9" t="e">
        <f>IF(OR(OIT!#REF!="",OIT!#REF!=""),"",OIT!#REF!-OIT!#REF!)</f>
        <v>#REF!</v>
      </c>
      <c r="M604" s="9" t="e">
        <f>IF(OR(OIT!#REF!="",OIT!#REF!=""),"",OIT!#REF!-OIT!#REF!)</f>
        <v>#REF!</v>
      </c>
      <c r="N604" s="9" t="e">
        <f>IF(OR(OIT!#REF!="",OIT!#REF!=""),"",OIT!#REF!-OIT!#REF!)</f>
        <v>#REF!</v>
      </c>
      <c r="O604" s="9">
        <f t="shared" si="36"/>
        <v>5640.932809472084</v>
      </c>
      <c r="P604" s="9">
        <f t="shared" si="37"/>
        <v>34089.283708357318</v>
      </c>
      <c r="Q604" s="9">
        <f t="shared" si="38"/>
        <v>15.830299573867299</v>
      </c>
      <c r="R604" s="9">
        <f t="shared" si="39"/>
        <v>138576.07428219068</v>
      </c>
    </row>
    <row r="605" spans="1:18" ht="15.5">
      <c r="A605" s="7" t="s">
        <v>32</v>
      </c>
      <c r="B605" s="7" t="s">
        <v>33</v>
      </c>
      <c r="C605" s="8">
        <v>2017</v>
      </c>
      <c r="D605" s="9">
        <v>6.33866</v>
      </c>
      <c r="E605" s="9">
        <v>2.6877412796020499</v>
      </c>
      <c r="F605" s="9">
        <v>2122.69</v>
      </c>
      <c r="G605" s="9">
        <v>2.6047675609588601</v>
      </c>
      <c r="H605" s="9">
        <v>93592.9375</v>
      </c>
      <c r="I605" s="9">
        <v>378540.25</v>
      </c>
      <c r="J605" s="9">
        <v>1.06203961372375</v>
      </c>
      <c r="K605" s="9">
        <v>0.44210100173950201</v>
      </c>
      <c r="L605" s="9" t="e">
        <f>IF(OR(OIT!#REF!="",OIT!#REF!=""),"",OIT!#REF!-OIT!#REF!)</f>
        <v>#REF!</v>
      </c>
      <c r="M605" s="9" t="e">
        <f>IF(OR(OIT!#REF!="",OIT!#REF!=""),"",OIT!#REF!-OIT!#REF!)</f>
        <v>#REF!</v>
      </c>
      <c r="N605" s="9" t="e">
        <f>IF(OR(OIT!#REF!="",OIT!#REF!=""),"",OIT!#REF!-OIT!#REF!)</f>
        <v>#REF!</v>
      </c>
      <c r="O605" s="9">
        <f t="shared" si="36"/>
        <v>5705.2415367984759</v>
      </c>
      <c r="P605" s="9">
        <f t="shared" si="37"/>
        <v>34822.15279063522</v>
      </c>
      <c r="Q605" s="9">
        <f t="shared" si="38"/>
        <v>16.404728335571946</v>
      </c>
      <c r="R605" s="9">
        <f t="shared" si="39"/>
        <v>140839.54168983374</v>
      </c>
    </row>
    <row r="606" spans="1:18" ht="15.5">
      <c r="A606" s="7" t="s">
        <v>32</v>
      </c>
      <c r="B606" s="7" t="s">
        <v>33</v>
      </c>
      <c r="C606" s="8">
        <v>2018</v>
      </c>
      <c r="D606" s="9">
        <v>6.4273819999999997</v>
      </c>
      <c r="E606" s="9">
        <v>2.7678182125091602</v>
      </c>
      <c r="F606" s="9">
        <v>2062.08</v>
      </c>
      <c r="G606" s="9">
        <v>2.6305620670318599</v>
      </c>
      <c r="H606" s="9">
        <v>96591.890625</v>
      </c>
      <c r="I606" s="9">
        <v>395076.875</v>
      </c>
      <c r="J606" s="9">
        <v>1.06235539913178</v>
      </c>
      <c r="K606" s="9">
        <v>0.45021146535873402</v>
      </c>
      <c r="L606" s="9" t="e">
        <f>IF(OR(OIT!#REF!="",OIT!#REF!=""),"",OIT!#REF!-OIT!#REF!)</f>
        <v>#REF!</v>
      </c>
      <c r="M606" s="9" t="e">
        <f>IF(OR(OIT!#REF!="",OIT!#REF!=""),"",OIT!#REF!-OIT!#REF!)</f>
        <v>#REF!</v>
      </c>
      <c r="N606" s="9" t="e">
        <f>IF(OR(OIT!#REF!="",OIT!#REF!=""),"",OIT!#REF!-OIT!#REF!)</f>
        <v>#REF!</v>
      </c>
      <c r="O606" s="9">
        <f t="shared" si="36"/>
        <v>5707.462579650889</v>
      </c>
      <c r="P606" s="9">
        <f t="shared" si="37"/>
        <v>34898.206171363694</v>
      </c>
      <c r="Q606" s="9">
        <f t="shared" si="38"/>
        <v>16.923788684902473</v>
      </c>
      <c r="R606" s="9">
        <f t="shared" si="39"/>
        <v>142739.45926594789</v>
      </c>
    </row>
    <row r="607" spans="1:18" ht="15.5">
      <c r="A607" s="7" t="s">
        <v>32</v>
      </c>
      <c r="B607" s="7" t="s">
        <v>33</v>
      </c>
      <c r="C607" s="8">
        <v>2019</v>
      </c>
      <c r="D607" s="9">
        <v>6.5150579999999998</v>
      </c>
      <c r="E607" s="9">
        <v>2.8266088962554901</v>
      </c>
      <c r="F607" s="9">
        <v>2050.9299999999998</v>
      </c>
      <c r="G607" s="9">
        <v>2.6566121578216602</v>
      </c>
      <c r="H607" s="9">
        <v>96203.7265625</v>
      </c>
      <c r="I607" s="9">
        <v>409098.625</v>
      </c>
      <c r="J607" s="9">
        <v>1.0250341892242401</v>
      </c>
      <c r="K607" s="9">
        <v>0.45390215516090399</v>
      </c>
      <c r="L607" s="9" t="e">
        <f>IF(OR(OIT!#REF!="",OIT!#REF!=""),"",OIT!#REF!-OIT!#REF!)</f>
        <v>#REF!</v>
      </c>
      <c r="M607" s="9" t="e">
        <f>IF(OR(OIT!#REF!="",OIT!#REF!=""),"",OIT!#REF!-OIT!#REF!)</f>
        <v>#REF!</v>
      </c>
      <c r="N607" s="9" t="e">
        <f>IF(OR(OIT!#REF!="",OIT!#REF!=""),"",OIT!#REF!-OIT!#REF!)</f>
        <v>#REF!</v>
      </c>
      <c r="O607" s="9">
        <f t="shared" si="36"/>
        <v>5797.1769835972718</v>
      </c>
      <c r="P607" s="9">
        <f t="shared" si="37"/>
        <v>34035.032823233705</v>
      </c>
      <c r="Q607" s="9">
        <f t="shared" si="38"/>
        <v>16.594926605605121</v>
      </c>
      <c r="R607" s="9">
        <f t="shared" si="39"/>
        <v>144731.24511210149</v>
      </c>
    </row>
    <row r="608" spans="1:18" ht="15.5">
      <c r="A608" s="7" t="s">
        <v>32</v>
      </c>
      <c r="B608" s="7" t="s">
        <v>33</v>
      </c>
      <c r="C608" s="8">
        <v>2020</v>
      </c>
      <c r="D608" s="9">
        <v>6.603739</v>
      </c>
      <c r="E608" s="9">
        <v>2.7581834793090798</v>
      </c>
      <c r="F608" s="9">
        <v>1855.46</v>
      </c>
      <c r="G608" s="9">
        <v>2.6829202175140399</v>
      </c>
      <c r="H608" s="9">
        <v>95415.0625</v>
      </c>
      <c r="I608" s="9">
        <v>424055</v>
      </c>
      <c r="J608" s="9">
        <v>1.0511112213134799</v>
      </c>
      <c r="K608" s="9">
        <v>0.465960443019867</v>
      </c>
      <c r="L608" s="9" t="e">
        <f>IF(OR(OIT!#REF!="",OIT!#REF!=""),"",OIT!#REF!-OIT!#REF!)</f>
        <v>#REF!</v>
      </c>
      <c r="M608" s="9" t="e">
        <f>IF(OR(OIT!#REF!="",OIT!#REF!=""),"",OIT!#REF!-OIT!#REF!)</f>
        <v>#REF!</v>
      </c>
      <c r="N608" s="9" t="e">
        <f>IF(OR(OIT!#REF!="",OIT!#REF!=""),"",OIT!#REF!-OIT!#REF!)</f>
        <v>#REF!</v>
      </c>
      <c r="O608" s="9">
        <f t="shared" si="36"/>
        <v>5117.6991185188253</v>
      </c>
      <c r="P608" s="9">
        <f t="shared" si="37"/>
        <v>34593.442827777835</v>
      </c>
      <c r="Q608" s="9">
        <f t="shared" si="38"/>
        <v>18.644132898460668</v>
      </c>
      <c r="R608" s="9">
        <f t="shared" si="39"/>
        <v>153744.30424266955</v>
      </c>
    </row>
    <row r="609" spans="1:18" ht="15.5">
      <c r="A609" s="7" t="s">
        <v>32</v>
      </c>
      <c r="B609" s="7" t="s">
        <v>33</v>
      </c>
      <c r="C609" s="8">
        <v>2021</v>
      </c>
      <c r="D609" s="9">
        <v>6.6841819999999998</v>
      </c>
      <c r="E609" s="9">
        <v>2.87690258026123</v>
      </c>
      <c r="F609" s="9">
        <v>2029.63</v>
      </c>
      <c r="G609" s="9">
        <v>2.6999762058258101</v>
      </c>
      <c r="H609" s="9">
        <v>99247.640625</v>
      </c>
      <c r="I609" s="9">
        <v>443667.28125</v>
      </c>
      <c r="J609" s="9">
        <v>1</v>
      </c>
      <c r="K609" s="9">
        <v>0.45413136482238797</v>
      </c>
      <c r="L609" s="9" t="e">
        <f>IF(OR(OIT!#REF!="",OIT!#REF!=""),"",OIT!#REF!-OIT!#REF!)</f>
        <v>#REF!</v>
      </c>
      <c r="M609" s="9" t="e">
        <f>IF(OR(OIT!#REF!="",OIT!#REF!=""),"",OIT!#REF!-OIT!#REF!)</f>
        <v>#REF!</v>
      </c>
      <c r="N609" s="9" t="e">
        <f>IF(OR(OIT!#REF!="",OIT!#REF!=""),"",OIT!#REF!-OIT!#REF!)</f>
        <v>#REF!</v>
      </c>
      <c r="O609" s="9">
        <f t="shared" si="36"/>
        <v>5839.0477839756004</v>
      </c>
      <c r="P609" s="9">
        <f t="shared" si="37"/>
        <v>34498.088779908583</v>
      </c>
      <c r="Q609" s="9">
        <f t="shared" si="38"/>
        <v>16.997230421263279</v>
      </c>
      <c r="R609" s="9">
        <f t="shared" si="39"/>
        <v>154216.99861999287</v>
      </c>
    </row>
    <row r="610" spans="1:18" ht="15.5">
      <c r="A610" s="7" t="s">
        <v>32</v>
      </c>
      <c r="B610" s="7" t="s">
        <v>33</v>
      </c>
      <c r="C610" s="8">
        <v>2022</v>
      </c>
      <c r="D610" s="9">
        <v>6.7604639999999998</v>
      </c>
      <c r="E610" s="9">
        <v>2.8762357234954798</v>
      </c>
      <c r="F610" s="9">
        <v>2091.92</v>
      </c>
      <c r="G610" s="9">
        <v>2.71732521057129</v>
      </c>
      <c r="H610" s="9">
        <v>99422.3515625</v>
      </c>
      <c r="I610" s="9">
        <v>461860</v>
      </c>
      <c r="J610" s="9">
        <v>0.962105393409729</v>
      </c>
      <c r="K610" s="9">
        <v>0.44494813680648798</v>
      </c>
      <c r="L610" s="9" t="e">
        <f>IF(OR(OIT!#REF!="",OIT!#REF!=""),"",OIT!#REF!-OIT!#REF!)</f>
        <v>#REF!</v>
      </c>
      <c r="M610" s="9" t="e">
        <f>IF(OR(OIT!#REF!="",OIT!#REF!=""),"",OIT!#REF!-OIT!#REF!)</f>
        <v>#REF!</v>
      </c>
      <c r="N610" s="9" t="e">
        <f>IF(OR(OIT!#REF!="",OIT!#REF!=""),"",OIT!#REF!-OIT!#REF!)</f>
        <v>#REF!</v>
      </c>
      <c r="O610" s="9">
        <f t="shared" si="36"/>
        <v>6016.855034694664</v>
      </c>
      <c r="P610" s="9">
        <f t="shared" si="37"/>
        <v>34566.83009335283</v>
      </c>
      <c r="Q610" s="9">
        <f t="shared" si="38"/>
        <v>16.523973236716905</v>
      </c>
      <c r="R610" s="9">
        <f t="shared" si="39"/>
        <v>160577.93741561039</v>
      </c>
    </row>
    <row r="611" spans="1:18" ht="15.5">
      <c r="A611" s="7" t="s">
        <v>32</v>
      </c>
      <c r="B611" s="7" t="s">
        <v>33</v>
      </c>
      <c r="C611" s="8">
        <v>2023</v>
      </c>
      <c r="D611" s="9">
        <v>6.8441460000000003</v>
      </c>
      <c r="E611" s="9">
        <v>2.9580242633819598</v>
      </c>
      <c r="F611" s="9">
        <v>2122.59</v>
      </c>
      <c r="G611" s="9">
        <v>2.73497366905212</v>
      </c>
      <c r="H611" s="9">
        <v>104109.2421875</v>
      </c>
      <c r="I611" s="9">
        <v>478213.375</v>
      </c>
      <c r="J611" s="9">
        <v>0.96699684858322099</v>
      </c>
      <c r="K611" s="9">
        <v>0.44494813680648798</v>
      </c>
      <c r="L611" s="9" t="e">
        <f>IF(OR(OIT!#REF!="",OIT!#REF!=""),"",OIT!#REF!-OIT!#REF!)</f>
        <v>#REF!</v>
      </c>
      <c r="M611" s="9" t="e">
        <f>IF(OR(OIT!#REF!="",OIT!#REF!=""),"",OIT!#REF!-OIT!#REF!)</f>
        <v>#REF!</v>
      </c>
      <c r="N611" s="9" t="e">
        <f>IF(OR(OIT!#REF!="",OIT!#REF!=""),"",OIT!#REF!-OIT!#REF!)</f>
        <v>#REF!</v>
      </c>
      <c r="O611" s="9">
        <f t="shared" si="36"/>
        <v>6278.672721211914</v>
      </c>
      <c r="P611" s="9">
        <f t="shared" si="37"/>
        <v>35195.533544566031</v>
      </c>
      <c r="Q611" s="9">
        <f t="shared" si="38"/>
        <v>16.581409289860989</v>
      </c>
      <c r="R611" s="9">
        <f t="shared" si="39"/>
        <v>161666.4815498337</v>
      </c>
    </row>
    <row r="612" spans="1:18" ht="15.5">
      <c r="A612" s="7" t="s">
        <v>32</v>
      </c>
      <c r="B612" s="7" t="s">
        <v>33</v>
      </c>
      <c r="C612" s="8">
        <v>2024</v>
      </c>
      <c r="D612" s="9"/>
      <c r="E612" s="9"/>
      <c r="F612" s="9"/>
      <c r="G612" s="9"/>
      <c r="H612" s="9"/>
      <c r="I612" s="9"/>
      <c r="J612" s="9"/>
      <c r="K612" s="9"/>
      <c r="L612" s="9" t="e">
        <f>IF(OR(OIT!#REF!="",OIT!#REF!=""),"",OIT!#REF!-OIT!#REF!)</f>
        <v>#REF!</v>
      </c>
      <c r="M612" s="9" t="e">
        <f>IF(OR(OIT!#REF!="",OIT!#REF!=""),"",OIT!#REF!-OIT!#REF!)</f>
        <v>#REF!</v>
      </c>
      <c r="N612" s="9" t="e">
        <f>IF(OR(OIT!#REF!="",OIT!#REF!=""),"",OIT!#REF!-OIT!#REF!)</f>
        <v>#REF!</v>
      </c>
      <c r="O612" s="9">
        <f t="shared" si="36"/>
        <v>0</v>
      </c>
      <c r="P612" s="9" t="str">
        <f t="shared" si="37"/>
        <v/>
      </c>
      <c r="Q612" s="9" t="str">
        <f t="shared" si="38"/>
        <v/>
      </c>
      <c r="R612" s="9" t="str">
        <f t="shared" si="39"/>
        <v/>
      </c>
    </row>
    <row r="613" spans="1:18" ht="15.5">
      <c r="A613" s="7" t="s">
        <v>32</v>
      </c>
      <c r="B613" s="7" t="s">
        <v>33</v>
      </c>
      <c r="C613" s="8">
        <v>2025</v>
      </c>
      <c r="D613" s="9"/>
      <c r="E613" s="9"/>
      <c r="F613" s="9"/>
      <c r="G613" s="9"/>
      <c r="H613" s="9"/>
      <c r="I613" s="9"/>
      <c r="J613" s="9"/>
      <c r="K613" s="9"/>
      <c r="L613" s="9" t="e">
        <f>IF(OR(OIT!#REF!="",OIT!#REF!=""),"",OIT!#REF!-OIT!#REF!)</f>
        <v>#REF!</v>
      </c>
      <c r="M613" s="9" t="e">
        <f>IF(OR(OIT!#REF!="",OIT!#REF!=""),"",OIT!#REF!-OIT!#REF!)</f>
        <v>#REF!</v>
      </c>
      <c r="N613" s="9" t="e">
        <f>IF(OR(OIT!#REF!="",OIT!#REF!=""),"",OIT!#REF!-OIT!#REF!)</f>
        <v>#REF!</v>
      </c>
      <c r="O613" s="9">
        <f t="shared" si="36"/>
        <v>0</v>
      </c>
      <c r="P613" s="9" t="str">
        <f t="shared" si="37"/>
        <v/>
      </c>
      <c r="Q613" s="9" t="str">
        <f t="shared" si="38"/>
        <v/>
      </c>
      <c r="R613" s="9" t="str">
        <f t="shared" si="39"/>
        <v/>
      </c>
    </row>
    <row r="614" spans="1:18" ht="15.5">
      <c r="A614" s="7" t="s">
        <v>34</v>
      </c>
      <c r="B614" s="7" t="s">
        <v>35</v>
      </c>
      <c r="C614" s="8">
        <v>1990</v>
      </c>
      <c r="D614" s="9">
        <v>22.014771</v>
      </c>
      <c r="E614" s="9">
        <v>7.7232785224914604</v>
      </c>
      <c r="F614" s="9">
        <v>2124.6799999999998</v>
      </c>
      <c r="G614" s="9">
        <v>2.2048473358154301</v>
      </c>
      <c r="H614" s="9">
        <v>131294.046875</v>
      </c>
      <c r="I614" s="9">
        <v>483632.65625</v>
      </c>
      <c r="J614" s="9">
        <v>1.0339111089706401</v>
      </c>
      <c r="K614" s="9">
        <v>0.54460769891738903</v>
      </c>
      <c r="L614" s="9" t="e">
        <f>IF(OR(OIT!#REF!="",OIT!#REF!=""),"",OIT!#REF!-OIT!#REF!)</f>
        <v>#REF!</v>
      </c>
      <c r="M614" s="9" t="e">
        <f>IF(OR(OIT!#REF!="",OIT!#REF!=""),"",OIT!#REF!-OIT!#REF!)</f>
        <v>#REF!</v>
      </c>
      <c r="N614" s="9" t="e">
        <f>IF(OR(OIT!#REF!="",OIT!#REF!=""),"",OIT!#REF!-OIT!#REF!)</f>
        <v>#REF!</v>
      </c>
      <c r="O614" s="9">
        <f t="shared" si="36"/>
        <v>16409.495411167154</v>
      </c>
      <c r="P614" s="9">
        <f t="shared" si="37"/>
        <v>16999.781439015838</v>
      </c>
      <c r="Q614" s="9">
        <f t="shared" si="38"/>
        <v>8.0011020196057014</v>
      </c>
      <c r="R614" s="9">
        <f t="shared" si="39"/>
        <v>62620.1236743673</v>
      </c>
    </row>
    <row r="615" spans="1:18" ht="15.5">
      <c r="A615" s="7" t="s">
        <v>34</v>
      </c>
      <c r="B615" s="7" t="s">
        <v>35</v>
      </c>
      <c r="C615" s="8">
        <v>1991</v>
      </c>
      <c r="D615" s="9">
        <v>22.483775000000001</v>
      </c>
      <c r="E615" s="9">
        <v>8.2477130889892596</v>
      </c>
      <c r="F615" s="9">
        <v>2120.48</v>
      </c>
      <c r="G615" s="9">
        <v>2.2373824119567902</v>
      </c>
      <c r="H615" s="9">
        <v>134207.796875</v>
      </c>
      <c r="I615" s="9">
        <v>490478.59375</v>
      </c>
      <c r="J615" s="9">
        <v>1.0149960517883301</v>
      </c>
      <c r="K615" s="9">
        <v>0.50604921579360995</v>
      </c>
      <c r="L615" s="9" t="e">
        <f>IF(OR(OIT!#REF!="",OIT!#REF!=""),"",OIT!#REF!-OIT!#REF!)</f>
        <v>#REF!</v>
      </c>
      <c r="M615" s="9" t="e">
        <f>IF(OR(OIT!#REF!="",OIT!#REF!=""),"",OIT!#REF!-OIT!#REF!)</f>
        <v>#REF!</v>
      </c>
      <c r="N615" s="9" t="e">
        <f>IF(OR(OIT!#REF!="",OIT!#REF!=""),"",OIT!#REF!-OIT!#REF!)</f>
        <v>#REF!</v>
      </c>
      <c r="O615" s="9">
        <f t="shared" si="36"/>
        <v>17489.110650939947</v>
      </c>
      <c r="P615" s="9">
        <f t="shared" si="37"/>
        <v>16272.122396469891</v>
      </c>
      <c r="Q615" s="9">
        <f t="shared" si="38"/>
        <v>7.673791969964296</v>
      </c>
      <c r="R615" s="9">
        <f t="shared" si="39"/>
        <v>59468.435487261493</v>
      </c>
    </row>
    <row r="616" spans="1:18" ht="15.5">
      <c r="A616" s="7" t="s">
        <v>34</v>
      </c>
      <c r="B616" s="7" t="s">
        <v>35</v>
      </c>
      <c r="C616" s="8">
        <v>1992</v>
      </c>
      <c r="D616" s="9">
        <v>22.946339999999999</v>
      </c>
      <c r="E616" s="9">
        <v>8.2491941452026403</v>
      </c>
      <c r="F616" s="9">
        <v>2126.33</v>
      </c>
      <c r="G616" s="9">
        <v>2.27039742469788</v>
      </c>
      <c r="H616" s="9">
        <v>133482.390625</v>
      </c>
      <c r="I616" s="9">
        <v>499556</v>
      </c>
      <c r="J616" s="9">
        <v>0.99759566783904996</v>
      </c>
      <c r="K616" s="9">
        <v>0.47275373339652998</v>
      </c>
      <c r="L616" s="9" t="e">
        <f>IF(OR(OIT!#REF!="",OIT!#REF!=""),"",OIT!#REF!-OIT!#REF!)</f>
        <v>#REF!</v>
      </c>
      <c r="M616" s="9" t="e">
        <f>IF(OR(OIT!#REF!="",OIT!#REF!=""),"",OIT!#REF!-OIT!#REF!)</f>
        <v>#REF!</v>
      </c>
      <c r="N616" s="9" t="e">
        <f>IF(OR(OIT!#REF!="",OIT!#REF!=""),"",OIT!#REF!-OIT!#REF!)</f>
        <v>#REF!</v>
      </c>
      <c r="O616" s="9">
        <f t="shared" si="36"/>
        <v>17540.508986768731</v>
      </c>
      <c r="P616" s="9">
        <f t="shared" si="37"/>
        <v>16181.264287812568</v>
      </c>
      <c r="Q616" s="9">
        <f t="shared" si="38"/>
        <v>7.6099496728224532</v>
      </c>
      <c r="R616" s="9">
        <f t="shared" si="39"/>
        <v>60558.157706897866</v>
      </c>
    </row>
    <row r="617" spans="1:18" ht="15.5">
      <c r="A617" s="7" t="s">
        <v>34</v>
      </c>
      <c r="B617" s="7" t="s">
        <v>35</v>
      </c>
      <c r="C617" s="8">
        <v>1993</v>
      </c>
      <c r="D617" s="9">
        <v>23.413782999999999</v>
      </c>
      <c r="E617" s="9">
        <v>8.5044631958007795</v>
      </c>
      <c r="F617" s="9">
        <v>2119.63</v>
      </c>
      <c r="G617" s="9">
        <v>2.3038995265960698</v>
      </c>
      <c r="H617" s="9">
        <v>140481.640625</v>
      </c>
      <c r="I617" s="9">
        <v>513169.5</v>
      </c>
      <c r="J617" s="9">
        <v>1.02006852626801</v>
      </c>
      <c r="K617" s="9">
        <v>0.45807802677154502</v>
      </c>
      <c r="L617" s="9" t="e">
        <f>IF(OR(OIT!#REF!="",OIT!#REF!=""),"",OIT!#REF!-OIT!#REF!)</f>
        <v>#REF!</v>
      </c>
      <c r="M617" s="9" t="e">
        <f>IF(OR(OIT!#REF!="",OIT!#REF!=""),"",OIT!#REF!-OIT!#REF!)</f>
        <v>#REF!</v>
      </c>
      <c r="N617" s="9" t="e">
        <f>IF(OR(OIT!#REF!="",OIT!#REF!=""),"",OIT!#REF!-OIT!#REF!)</f>
        <v>#REF!</v>
      </c>
      <c r="O617" s="9">
        <f t="shared" si="36"/>
        <v>18026.315323715207</v>
      </c>
      <c r="P617" s="9">
        <f t="shared" si="37"/>
        <v>16518.57823247035</v>
      </c>
      <c r="Q617" s="9">
        <f t="shared" si="38"/>
        <v>7.7931423090210794</v>
      </c>
      <c r="R617" s="9">
        <f t="shared" si="39"/>
        <v>60341.198284376842</v>
      </c>
    </row>
    <row r="618" spans="1:18" ht="15.5">
      <c r="A618" s="7" t="s">
        <v>34</v>
      </c>
      <c r="B618" s="7" t="s">
        <v>35</v>
      </c>
      <c r="C618" s="8">
        <v>1994</v>
      </c>
      <c r="D618" s="9">
        <v>23.881492999999999</v>
      </c>
      <c r="E618" s="9">
        <v>8.9604969024658203</v>
      </c>
      <c r="F618" s="9">
        <v>2117.7199999999998</v>
      </c>
      <c r="G618" s="9">
        <v>2.3378958702087398</v>
      </c>
      <c r="H618" s="9">
        <v>157772.640625</v>
      </c>
      <c r="I618" s="9">
        <v>539402.0625</v>
      </c>
      <c r="J618" s="9">
        <v>1.0851234197616599</v>
      </c>
      <c r="K618" s="9">
        <v>0.47491002082824701</v>
      </c>
      <c r="L618" s="9" t="e">
        <f>IF(OR(OIT!#REF!="",OIT!#REF!=""),"",OIT!#REF!-OIT!#REF!)</f>
        <v>#REF!</v>
      </c>
      <c r="M618" s="9" t="e">
        <f>IF(OR(OIT!#REF!="",OIT!#REF!=""),"",OIT!#REF!-OIT!#REF!)</f>
        <v>#REF!</v>
      </c>
      <c r="N618" s="9" t="e">
        <f>IF(OR(OIT!#REF!="",OIT!#REF!=""),"",OIT!#REF!-OIT!#REF!)</f>
        <v>#REF!</v>
      </c>
      <c r="O618" s="9">
        <f t="shared" si="36"/>
        <v>18975.823500289916</v>
      </c>
      <c r="P618" s="9">
        <f t="shared" si="37"/>
        <v>17607.577162554779</v>
      </c>
      <c r="Q618" s="9">
        <f t="shared" si="38"/>
        <v>8.3144028306644771</v>
      </c>
      <c r="R618" s="9">
        <f t="shared" si="39"/>
        <v>60197.784606293775</v>
      </c>
    </row>
    <row r="619" spans="1:18" ht="15.5">
      <c r="A619" s="7" t="s">
        <v>34</v>
      </c>
      <c r="B619" s="7" t="s">
        <v>35</v>
      </c>
      <c r="C619" s="8">
        <v>1995</v>
      </c>
      <c r="D619" s="9">
        <v>24.348918999999999</v>
      </c>
      <c r="E619" s="9">
        <v>9.4500293731689506</v>
      </c>
      <c r="F619" s="9">
        <v>2117.34</v>
      </c>
      <c r="G619" s="9">
        <v>2.3723940849304199</v>
      </c>
      <c r="H619" s="9">
        <v>169465.796875</v>
      </c>
      <c r="I619" s="9">
        <v>572993.125</v>
      </c>
      <c r="J619" s="9">
        <v>1.0940588712692301</v>
      </c>
      <c r="K619" s="9">
        <v>0.476092338562012</v>
      </c>
      <c r="L619" s="9" t="e">
        <f>IF(OR(OIT!#REF!="",OIT!#REF!=""),"",OIT!#REF!-OIT!#REF!)</f>
        <v>#REF!</v>
      </c>
      <c r="M619" s="9" t="e">
        <f>IF(OR(OIT!#REF!="",OIT!#REF!=""),"",OIT!#REF!-OIT!#REF!)</f>
        <v>#REF!</v>
      </c>
      <c r="N619" s="9" t="e">
        <f>IF(OR(OIT!#REF!="",OIT!#REF!=""),"",OIT!#REF!-OIT!#REF!)</f>
        <v>#REF!</v>
      </c>
      <c r="O619" s="9">
        <f t="shared" si="36"/>
        <v>20008.925192985549</v>
      </c>
      <c r="P619" s="9">
        <f t="shared" si="37"/>
        <v>17932.832818081679</v>
      </c>
      <c r="Q619" s="9">
        <f t="shared" si="38"/>
        <v>8.4695102430793714</v>
      </c>
      <c r="R619" s="9">
        <f t="shared" si="39"/>
        <v>60634.004654723503</v>
      </c>
    </row>
    <row r="620" spans="1:18" ht="15.5">
      <c r="A620" s="7" t="s">
        <v>34</v>
      </c>
      <c r="B620" s="7" t="s">
        <v>35</v>
      </c>
      <c r="C620" s="8">
        <v>1996</v>
      </c>
      <c r="D620" s="9">
        <v>24.811171000000002</v>
      </c>
      <c r="E620" s="9">
        <v>9.8386383056640607</v>
      </c>
      <c r="F620" s="9">
        <v>2112.0100000000002</v>
      </c>
      <c r="G620" s="9">
        <v>2.4221241474151598</v>
      </c>
      <c r="H620" s="9">
        <v>174209.09375</v>
      </c>
      <c r="I620" s="9">
        <v>603844.75</v>
      </c>
      <c r="J620" s="9">
        <v>1.0650389194488501</v>
      </c>
      <c r="K620" s="9">
        <v>0.471714407205582</v>
      </c>
      <c r="L620" s="9" t="e">
        <f>IF(OR(OIT!#REF!="",OIT!#REF!=""),"",OIT!#REF!-OIT!#REF!)</f>
        <v>#REF!</v>
      </c>
      <c r="M620" s="9" t="e">
        <f>IF(OR(OIT!#REF!="",OIT!#REF!=""),"",OIT!#REF!-OIT!#REF!)</f>
        <v>#REF!</v>
      </c>
      <c r="N620" s="9" t="e">
        <f>IF(OR(OIT!#REF!="",OIT!#REF!=""),"",OIT!#REF!-OIT!#REF!)</f>
        <v>#REF!</v>
      </c>
      <c r="O620" s="9">
        <f t="shared" si="36"/>
        <v>20779.302487945555</v>
      </c>
      <c r="P620" s="9">
        <f t="shared" si="37"/>
        <v>17706.626500306305</v>
      </c>
      <c r="Q620" s="9">
        <f t="shared" si="38"/>
        <v>8.3837796697488667</v>
      </c>
      <c r="R620" s="9">
        <f t="shared" si="39"/>
        <v>61374.829650193489</v>
      </c>
    </row>
    <row r="621" spans="1:18" ht="15.5">
      <c r="A621" s="7" t="s">
        <v>34</v>
      </c>
      <c r="B621" s="7" t="s">
        <v>35</v>
      </c>
      <c r="C621" s="8">
        <v>1997</v>
      </c>
      <c r="D621" s="9">
        <v>25.274146999999999</v>
      </c>
      <c r="E621" s="9">
        <v>10.0837860107422</v>
      </c>
      <c r="F621" s="9">
        <v>2111.5</v>
      </c>
      <c r="G621" s="9">
        <v>2.4728965759277299</v>
      </c>
      <c r="H621" s="9">
        <v>185492.3125</v>
      </c>
      <c r="I621" s="9">
        <v>641876.5625</v>
      </c>
      <c r="J621" s="9">
        <v>1.07407402992249</v>
      </c>
      <c r="K621" s="9">
        <v>0.46325787901878401</v>
      </c>
      <c r="L621" s="9" t="e">
        <f>IF(OR(OIT!#REF!="",OIT!#REF!=""),"",OIT!#REF!-OIT!#REF!)</f>
        <v>#REF!</v>
      </c>
      <c r="M621" s="9" t="e">
        <f>IF(OR(OIT!#REF!="",OIT!#REF!=""),"",OIT!#REF!-OIT!#REF!)</f>
        <v>#REF!</v>
      </c>
      <c r="N621" s="9" t="e">
        <f>IF(OR(OIT!#REF!="",OIT!#REF!=""),"",OIT!#REF!-OIT!#REF!)</f>
        <v>#REF!</v>
      </c>
      <c r="O621" s="9">
        <f t="shared" si="36"/>
        <v>21291.914161682154</v>
      </c>
      <c r="P621" s="9">
        <f t="shared" si="37"/>
        <v>18395.105995148657</v>
      </c>
      <c r="Q621" s="9">
        <f t="shared" si="38"/>
        <v>8.7118664433571666</v>
      </c>
      <c r="R621" s="9">
        <f t="shared" si="39"/>
        <v>63654.322078653051</v>
      </c>
    </row>
    <row r="622" spans="1:18" ht="15.5">
      <c r="A622" s="7" t="s">
        <v>34</v>
      </c>
      <c r="B622" s="7" t="s">
        <v>35</v>
      </c>
      <c r="C622" s="8">
        <v>1998</v>
      </c>
      <c r="D622" s="9">
        <v>25.738095000000001</v>
      </c>
      <c r="E622" s="9">
        <v>10.5295600891113</v>
      </c>
      <c r="F622" s="9">
        <v>2104.9899999999998</v>
      </c>
      <c r="G622" s="9">
        <v>2.5247330665588401</v>
      </c>
      <c r="H622" s="9">
        <v>184766.03125</v>
      </c>
      <c r="I622" s="9">
        <v>677592.9375</v>
      </c>
      <c r="J622" s="9">
        <v>1.0104063749313399</v>
      </c>
      <c r="K622" s="9">
        <v>0.46785312891006497</v>
      </c>
      <c r="L622" s="9" t="e">
        <f>IF(OR(OIT!#REF!="",OIT!#REF!=""),"",OIT!#REF!-OIT!#REF!)</f>
        <v>#REF!</v>
      </c>
      <c r="M622" s="9" t="e">
        <f>IF(OR(OIT!#REF!="",OIT!#REF!=""),"",OIT!#REF!-OIT!#REF!)</f>
        <v>#REF!</v>
      </c>
      <c r="N622" s="9" t="e">
        <f>IF(OR(OIT!#REF!="",OIT!#REF!=""),"",OIT!#REF!-OIT!#REF!)</f>
        <v>#REF!</v>
      </c>
      <c r="O622" s="9">
        <f t="shared" si="36"/>
        <v>22164.618691978394</v>
      </c>
      <c r="P622" s="9">
        <f t="shared" si="37"/>
        <v>17547.364722394053</v>
      </c>
      <c r="Q622" s="9">
        <f t="shared" si="38"/>
        <v>8.3360798494976471</v>
      </c>
      <c r="R622" s="9">
        <f t="shared" si="39"/>
        <v>64351.495386849463</v>
      </c>
    </row>
    <row r="623" spans="1:18" ht="15.5">
      <c r="A623" s="7" t="s">
        <v>34</v>
      </c>
      <c r="B623" s="7" t="s">
        <v>35</v>
      </c>
      <c r="C623" s="8">
        <v>1999</v>
      </c>
      <c r="D623" s="9">
        <v>26.186503999999999</v>
      </c>
      <c r="E623" s="9">
        <v>10.854040145874</v>
      </c>
      <c r="F623" s="9">
        <v>2101.36</v>
      </c>
      <c r="G623" s="9">
        <v>2.5718679428100599</v>
      </c>
      <c r="H623" s="9">
        <v>187528.125</v>
      </c>
      <c r="I623" s="9">
        <v>705034.75</v>
      </c>
      <c r="J623" s="9">
        <v>0.98320078849792503</v>
      </c>
      <c r="K623" s="9">
        <v>0.47027793526649497</v>
      </c>
      <c r="L623" s="9" t="e">
        <f>IF(OR(OIT!#REF!="",OIT!#REF!=""),"",OIT!#REF!-OIT!#REF!)</f>
        <v>#REF!</v>
      </c>
      <c r="M623" s="9" t="e">
        <f>IF(OR(OIT!#REF!="",OIT!#REF!=""),"",OIT!#REF!-OIT!#REF!)</f>
        <v>#REF!</v>
      </c>
      <c r="N623" s="9" t="e">
        <f>IF(OR(OIT!#REF!="",OIT!#REF!=""),"",OIT!#REF!-OIT!#REF!)</f>
        <v>#REF!</v>
      </c>
      <c r="O623" s="9">
        <f t="shared" si="36"/>
        <v>22808.24580093379</v>
      </c>
      <c r="P623" s="9">
        <f t="shared" si="37"/>
        <v>17277.264730892486</v>
      </c>
      <c r="Q623" s="9">
        <f t="shared" si="38"/>
        <v>8.2219442317796503</v>
      </c>
      <c r="R623" s="9">
        <f t="shared" si="39"/>
        <v>64955.974045112438</v>
      </c>
    </row>
    <row r="624" spans="1:18" ht="15.5">
      <c r="A624" s="7" t="s">
        <v>34</v>
      </c>
      <c r="B624" s="7" t="s">
        <v>35</v>
      </c>
      <c r="C624" s="8">
        <v>2000</v>
      </c>
      <c r="D624" s="9">
        <v>26.598331000000002</v>
      </c>
      <c r="E624" s="9">
        <v>11.3204860687256</v>
      </c>
      <c r="F624" s="9">
        <v>2101.23</v>
      </c>
      <c r="G624" s="9">
        <v>2.6080415248870898</v>
      </c>
      <c r="H624" s="9">
        <v>192580.8125</v>
      </c>
      <c r="I624" s="9">
        <v>728714.6875</v>
      </c>
      <c r="J624" s="9">
        <v>0.96728903055190996</v>
      </c>
      <c r="K624" s="9">
        <v>0.46401917934417702</v>
      </c>
      <c r="L624" s="9" t="e">
        <f>IF(OR(OIT!#REF!="",OIT!#REF!=""),"",OIT!#REF!-OIT!#REF!)</f>
        <v>#REF!</v>
      </c>
      <c r="M624" s="9" t="e">
        <f>IF(OR(OIT!#REF!="",OIT!#REF!=""),"",OIT!#REF!-OIT!#REF!)</f>
        <v>#REF!</v>
      </c>
      <c r="N624" s="9" t="e">
        <f>IF(OR(OIT!#REF!="",OIT!#REF!=""),"",OIT!#REF!-OIT!#REF!)</f>
        <v>#REF!</v>
      </c>
      <c r="O624" s="9">
        <f t="shared" si="36"/>
        <v>23786.944942188293</v>
      </c>
      <c r="P624" s="9">
        <f t="shared" si="37"/>
        <v>17011.708802153909</v>
      </c>
      <c r="Q624" s="9">
        <f t="shared" si="38"/>
        <v>8.0960717304406984</v>
      </c>
      <c r="R624" s="9">
        <f t="shared" si="39"/>
        <v>64371.324965733984</v>
      </c>
    </row>
    <row r="625" spans="1:18" ht="15.5">
      <c r="A625" s="7" t="s">
        <v>34</v>
      </c>
      <c r="B625" s="7" t="s">
        <v>35</v>
      </c>
      <c r="C625" s="8">
        <v>2001</v>
      </c>
      <c r="D625" s="9">
        <v>26.964600999999998</v>
      </c>
      <c r="E625" s="9">
        <v>11.483965873718301</v>
      </c>
      <c r="F625" s="9">
        <v>2100.58</v>
      </c>
      <c r="G625" s="9">
        <v>2.6408205032348602</v>
      </c>
      <c r="H625" s="9">
        <v>193770.78125</v>
      </c>
      <c r="I625" s="9">
        <v>747611.8125</v>
      </c>
      <c r="J625" s="9">
        <v>0.94965583086013805</v>
      </c>
      <c r="K625" s="9">
        <v>0.47182014584541299</v>
      </c>
      <c r="L625" s="9" t="e">
        <f>IF(OR(OIT!#REF!="",OIT!#REF!=""),"",OIT!#REF!-OIT!#REF!)</f>
        <v>#REF!</v>
      </c>
      <c r="M625" s="9" t="e">
        <f>IF(OR(OIT!#REF!="",OIT!#REF!=""),"",OIT!#REF!-OIT!#REF!)</f>
        <v>#REF!</v>
      </c>
      <c r="N625" s="9" t="e">
        <f>IF(OR(OIT!#REF!="",OIT!#REF!=""),"",OIT!#REF!-OIT!#REF!)</f>
        <v>#REF!</v>
      </c>
      <c r="O625" s="9">
        <f t="shared" si="36"/>
        <v>24122.989035015187</v>
      </c>
      <c r="P625" s="9">
        <f t="shared" si="37"/>
        <v>16873.158922690225</v>
      </c>
      <c r="Q625" s="9">
        <f t="shared" si="38"/>
        <v>8.0326190493531442</v>
      </c>
      <c r="R625" s="9">
        <f t="shared" si="39"/>
        <v>65100.490607600244</v>
      </c>
    </row>
    <row r="626" spans="1:18" ht="15.5">
      <c r="A626" s="7" t="s">
        <v>34</v>
      </c>
      <c r="B626" s="7" t="s">
        <v>35</v>
      </c>
      <c r="C626" s="8">
        <v>2002</v>
      </c>
      <c r="D626" s="9">
        <v>27.288217</v>
      </c>
      <c r="E626" s="9">
        <v>11.722552299499499</v>
      </c>
      <c r="F626" s="9">
        <v>2098.31</v>
      </c>
      <c r="G626" s="9">
        <v>2.67401123046875</v>
      </c>
      <c r="H626" s="9">
        <v>204338.125</v>
      </c>
      <c r="I626" s="9">
        <v>766828.375</v>
      </c>
      <c r="J626" s="9">
        <v>0.975710868835449</v>
      </c>
      <c r="K626" s="9">
        <v>0.47110077738761902</v>
      </c>
      <c r="L626" s="9" t="e">
        <f>IF(OR(OIT!#REF!="",OIT!#REF!=""),"",OIT!#REF!-OIT!#REF!)</f>
        <v>#REF!</v>
      </c>
      <c r="M626" s="9" t="e">
        <f>IF(OR(OIT!#REF!="",OIT!#REF!=""),"",OIT!#REF!-OIT!#REF!)</f>
        <v>#REF!</v>
      </c>
      <c r="N626" s="9" t="e">
        <f>IF(OR(OIT!#REF!="",OIT!#REF!=""),"",OIT!#REF!-OIT!#REF!)</f>
        <v>#REF!</v>
      </c>
      <c r="O626" s="9">
        <f t="shared" si="36"/>
        <v>24597.548715562792</v>
      </c>
      <c r="P626" s="9">
        <f t="shared" si="37"/>
        <v>17431.197556587085</v>
      </c>
      <c r="Q626" s="9">
        <f t="shared" si="38"/>
        <v>8.3072556279039258</v>
      </c>
      <c r="R626" s="9">
        <f t="shared" si="39"/>
        <v>65414.796659319676</v>
      </c>
    </row>
    <row r="627" spans="1:18" ht="15.5">
      <c r="A627" s="7" t="s">
        <v>34</v>
      </c>
      <c r="B627" s="7" t="s">
        <v>35</v>
      </c>
      <c r="C627" s="8">
        <v>2003</v>
      </c>
      <c r="D627" s="9">
        <v>27.580490000000001</v>
      </c>
      <c r="E627" s="9">
        <v>11.9215965270996</v>
      </c>
      <c r="F627" s="9">
        <v>2100.92</v>
      </c>
      <c r="G627" s="9">
        <v>2.70761942863464</v>
      </c>
      <c r="H627" s="9">
        <v>212848.84375</v>
      </c>
      <c r="I627" s="9">
        <v>788982</v>
      </c>
      <c r="J627" s="9">
        <v>0.98863297700882002</v>
      </c>
      <c r="K627" s="9">
        <v>0.47168892621994002</v>
      </c>
      <c r="L627" s="9" t="e">
        <f>IF(OR(OIT!#REF!="",OIT!#REF!=""),"",OIT!#REF!-OIT!#REF!)</f>
        <v>#REF!</v>
      </c>
      <c r="M627" s="9" t="e">
        <f>IF(OR(OIT!#REF!="",OIT!#REF!=""),"",OIT!#REF!-OIT!#REF!)</f>
        <v>#REF!</v>
      </c>
      <c r="N627" s="9" t="e">
        <f>IF(OR(OIT!#REF!="",OIT!#REF!=""),"",OIT!#REF!-OIT!#REF!)</f>
        <v>#REF!</v>
      </c>
      <c r="O627" s="9">
        <f t="shared" si="36"/>
        <v>25046.320575714093</v>
      </c>
      <c r="P627" s="9">
        <f t="shared" si="37"/>
        <v>17854.055307622788</v>
      </c>
      <c r="Q627" s="9">
        <f t="shared" si="38"/>
        <v>8.4982080743782653</v>
      </c>
      <c r="R627" s="9">
        <f t="shared" si="39"/>
        <v>66180.901040101802</v>
      </c>
    </row>
    <row r="628" spans="1:18" ht="15.5">
      <c r="A628" s="7" t="s">
        <v>34</v>
      </c>
      <c r="B628" s="7" t="s">
        <v>35</v>
      </c>
      <c r="C628" s="8">
        <v>2004</v>
      </c>
      <c r="D628" s="9">
        <v>27.85219</v>
      </c>
      <c r="E628" s="9">
        <v>12.2204704284668</v>
      </c>
      <c r="F628" s="9">
        <v>2099.54</v>
      </c>
      <c r="G628" s="9">
        <v>2.74164962768555</v>
      </c>
      <c r="H628" s="9">
        <v>223402.328125</v>
      </c>
      <c r="I628" s="9">
        <v>814781.625</v>
      </c>
      <c r="J628" s="9">
        <v>1.003821849823</v>
      </c>
      <c r="K628" s="9">
        <v>0.460426986217499</v>
      </c>
      <c r="L628" s="9" t="e">
        <f>IF(OR(OIT!#REF!="",OIT!#REF!=""),"",OIT!#REF!-OIT!#REF!)</f>
        <v>#REF!</v>
      </c>
      <c r="M628" s="9" t="e">
        <f>IF(OR(OIT!#REF!="",OIT!#REF!=""),"",OIT!#REF!-OIT!#REF!)</f>
        <v>#REF!</v>
      </c>
      <c r="N628" s="9" t="e">
        <f>IF(OR(OIT!#REF!="",OIT!#REF!=""),"",OIT!#REF!-OIT!#REF!)</f>
        <v>#REF!</v>
      </c>
      <c r="O628" s="9">
        <f t="shared" si="36"/>
        <v>25657.366483383186</v>
      </c>
      <c r="P628" s="9">
        <f t="shared" si="37"/>
        <v>18280.992489830722</v>
      </c>
      <c r="Q628" s="9">
        <f t="shared" si="38"/>
        <v>8.7071417976464947</v>
      </c>
      <c r="R628" s="9">
        <f t="shared" si="39"/>
        <v>66673.507355495793</v>
      </c>
    </row>
    <row r="629" spans="1:18" ht="15.5">
      <c r="A629" s="7" t="s">
        <v>34</v>
      </c>
      <c r="B629" s="7" t="s">
        <v>35</v>
      </c>
      <c r="C629" s="8">
        <v>2005</v>
      </c>
      <c r="D629" s="9">
        <v>28.101179999999999</v>
      </c>
      <c r="E629" s="9">
        <v>12.4795579910278</v>
      </c>
      <c r="F629" s="9">
        <v>2100.5700000000002</v>
      </c>
      <c r="G629" s="9">
        <v>2.7761077880859402</v>
      </c>
      <c r="H629" s="9">
        <v>237443.296875</v>
      </c>
      <c r="I629" s="9">
        <v>846175.25</v>
      </c>
      <c r="J629" s="9">
        <v>1.0288890600204501</v>
      </c>
      <c r="K629" s="9">
        <v>0.44910028576850902</v>
      </c>
      <c r="L629" s="9" t="e">
        <f>IF(OR(OIT!#REF!="",OIT!#REF!=""),"",OIT!#REF!-OIT!#REF!)</f>
        <v>#REF!</v>
      </c>
      <c r="M629" s="9" t="e">
        <f>IF(OR(OIT!#REF!="",OIT!#REF!=""),"",OIT!#REF!-OIT!#REF!)</f>
        <v>#REF!</v>
      </c>
      <c r="N629" s="9" t="e">
        <f>IF(OR(OIT!#REF!="",OIT!#REF!=""),"",OIT!#REF!-OIT!#REF!)</f>
        <v>#REF!</v>
      </c>
      <c r="O629" s="9">
        <f t="shared" si="36"/>
        <v>26214.185129213267</v>
      </c>
      <c r="P629" s="9">
        <f t="shared" si="37"/>
        <v>19026.579070004744</v>
      </c>
      <c r="Q629" s="9">
        <f t="shared" si="38"/>
        <v>9.0578171972391992</v>
      </c>
      <c r="R629" s="9">
        <f t="shared" si="39"/>
        <v>67804.905478892702</v>
      </c>
    </row>
    <row r="630" spans="1:18" ht="15.5">
      <c r="A630" s="7" t="s">
        <v>34</v>
      </c>
      <c r="B630" s="7" t="s">
        <v>35</v>
      </c>
      <c r="C630" s="8">
        <v>2006</v>
      </c>
      <c r="D630" s="9">
        <v>28.324490999999998</v>
      </c>
      <c r="E630" s="9">
        <v>12.9000043869019</v>
      </c>
      <c r="F630" s="9">
        <v>2100.7600000000002</v>
      </c>
      <c r="G630" s="9">
        <v>2.7570033073425302</v>
      </c>
      <c r="H630" s="9">
        <v>255320.1875</v>
      </c>
      <c r="I630" s="9">
        <v>887886.3125</v>
      </c>
      <c r="J630" s="9">
        <v>1.0625901222228999</v>
      </c>
      <c r="K630" s="9">
        <v>0.43485027551651001</v>
      </c>
      <c r="L630" s="9" t="e">
        <f>IF(OR(OIT!#REF!="",OIT!#REF!=""),"",OIT!#REF!-OIT!#REF!)</f>
        <v>#REF!</v>
      </c>
      <c r="M630" s="9" t="e">
        <f>IF(OR(OIT!#REF!="",OIT!#REF!=""),"",OIT!#REF!-OIT!#REF!)</f>
        <v>#REF!</v>
      </c>
      <c r="N630" s="9" t="e">
        <f>IF(OR(OIT!#REF!="",OIT!#REF!=""),"",OIT!#REF!-OIT!#REF!)</f>
        <v>#REF!</v>
      </c>
      <c r="O630" s="9">
        <f t="shared" si="36"/>
        <v>27099.813215828039</v>
      </c>
      <c r="P630" s="9">
        <f t="shared" si="37"/>
        <v>19792.255866148462</v>
      </c>
      <c r="Q630" s="9">
        <f t="shared" si="38"/>
        <v>9.4214740694550816</v>
      </c>
      <c r="R630" s="9">
        <f t="shared" si="39"/>
        <v>68828.372911370549</v>
      </c>
    </row>
    <row r="631" spans="1:18" ht="15.5">
      <c r="A631" s="7" t="s">
        <v>34</v>
      </c>
      <c r="B631" s="7" t="s">
        <v>35</v>
      </c>
      <c r="C631" s="8">
        <v>2007</v>
      </c>
      <c r="D631" s="9">
        <v>28.530698999999998</v>
      </c>
      <c r="E631" s="9">
        <v>13.269493103027299</v>
      </c>
      <c r="F631" s="9">
        <v>2116.98</v>
      </c>
      <c r="G631" s="9">
        <v>2.7380301952362101</v>
      </c>
      <c r="H631" s="9">
        <v>277069.3125</v>
      </c>
      <c r="I631" s="9">
        <v>943838.5</v>
      </c>
      <c r="J631" s="9">
        <v>1.0950453281402599</v>
      </c>
      <c r="K631" s="9">
        <v>0.430886119604111</v>
      </c>
      <c r="L631" s="9" t="e">
        <f>IF(OR(OIT!#REF!="",OIT!#REF!=""),"",OIT!#REF!-OIT!#REF!)</f>
        <v>#REF!</v>
      </c>
      <c r="M631" s="9" t="e">
        <f>IF(OR(OIT!#REF!="",OIT!#REF!=""),"",OIT!#REF!-OIT!#REF!)</f>
        <v>#REF!</v>
      </c>
      <c r="N631" s="9" t="e">
        <f>IF(OR(OIT!#REF!="",OIT!#REF!=""),"",OIT!#REF!-OIT!#REF!)</f>
        <v>#REF!</v>
      </c>
      <c r="O631" s="9">
        <f t="shared" si="36"/>
        <v>28091.251509246733</v>
      </c>
      <c r="P631" s="9">
        <f t="shared" si="37"/>
        <v>20880.173066806106</v>
      </c>
      <c r="Q631" s="9">
        <f t="shared" si="38"/>
        <v>9.8631886304103507</v>
      </c>
      <c r="R631" s="9">
        <f t="shared" si="39"/>
        <v>71128.451755604212</v>
      </c>
    </row>
    <row r="632" spans="1:18" ht="15.5">
      <c r="A632" s="7" t="s">
        <v>34</v>
      </c>
      <c r="B632" s="7" t="s">
        <v>35</v>
      </c>
      <c r="C632" s="8">
        <v>2008</v>
      </c>
      <c r="D632" s="9">
        <v>28.719041000000001</v>
      </c>
      <c r="E632" s="9">
        <v>13.5634441375732</v>
      </c>
      <c r="F632" s="9">
        <v>2123.13</v>
      </c>
      <c r="G632" s="9">
        <v>2.71918773651123</v>
      </c>
      <c r="H632" s="9">
        <v>302356.25</v>
      </c>
      <c r="I632" s="9">
        <v>1019967.75</v>
      </c>
      <c r="J632" s="9">
        <v>1.1251093149185201</v>
      </c>
      <c r="K632" s="9">
        <v>0.431643456220627</v>
      </c>
      <c r="L632" s="9" t="e">
        <f>IF(OR(OIT!#REF!="",OIT!#REF!=""),"",OIT!#REF!-OIT!#REF!)</f>
        <v>#REF!</v>
      </c>
      <c r="M632" s="9" t="e">
        <f>IF(OR(OIT!#REF!="",OIT!#REF!=""),"",OIT!#REF!-OIT!#REF!)</f>
        <v>#REF!</v>
      </c>
      <c r="N632" s="9" t="e">
        <f>IF(OR(OIT!#REF!="",OIT!#REF!=""),"",OIT!#REF!-OIT!#REF!)</f>
        <v>#REF!</v>
      </c>
      <c r="O632" s="9">
        <f t="shared" si="36"/>
        <v>28796.955151805789</v>
      </c>
      <c r="P632" s="9">
        <f t="shared" si="37"/>
        <v>22291.996555831891</v>
      </c>
      <c r="Q632" s="9">
        <f t="shared" si="38"/>
        <v>10.499590960436661</v>
      </c>
      <c r="R632" s="9">
        <f t="shared" si="39"/>
        <v>75199.760448343965</v>
      </c>
    </row>
    <row r="633" spans="1:18" ht="15.5">
      <c r="A633" s="7" t="s">
        <v>34</v>
      </c>
      <c r="B633" s="7" t="s">
        <v>35</v>
      </c>
      <c r="C633" s="8">
        <v>2009</v>
      </c>
      <c r="D633" s="9">
        <v>28.896811</v>
      </c>
      <c r="E633" s="9">
        <v>13.8672952651978</v>
      </c>
      <c r="F633" s="9">
        <v>2123.4</v>
      </c>
      <c r="G633" s="9">
        <v>2.7004747390747101</v>
      </c>
      <c r="H633" s="9">
        <v>305669.53125</v>
      </c>
      <c r="I633" s="9">
        <v>1087148.875</v>
      </c>
      <c r="J633" s="9">
        <v>1.0880759954452499</v>
      </c>
      <c r="K633" s="9">
        <v>0.45054838061332703</v>
      </c>
      <c r="L633" s="9" t="e">
        <f>IF(OR(OIT!#REF!="",OIT!#REF!=""),"",OIT!#REF!-OIT!#REF!)</f>
        <v>#REF!</v>
      </c>
      <c r="M633" s="9" t="e">
        <f>IF(OR(OIT!#REF!="",OIT!#REF!=""),"",OIT!#REF!-OIT!#REF!)</f>
        <v>#REF!</v>
      </c>
      <c r="N633" s="9" t="e">
        <f>IF(OR(OIT!#REF!="",OIT!#REF!=""),"",OIT!#REF!-OIT!#REF!)</f>
        <v>#REF!</v>
      </c>
      <c r="O633" s="9">
        <f t="shared" si="36"/>
        <v>29445.81476612101</v>
      </c>
      <c r="P633" s="9">
        <f t="shared" si="37"/>
        <v>22042.476590018723</v>
      </c>
      <c r="Q633" s="9">
        <f t="shared" si="38"/>
        <v>10.380746251303909</v>
      </c>
      <c r="R633" s="9">
        <f t="shared" si="39"/>
        <v>78396.605409302443</v>
      </c>
    </row>
    <row r="634" spans="1:18" ht="15.5">
      <c r="A634" s="7" t="s">
        <v>34</v>
      </c>
      <c r="B634" s="7" t="s">
        <v>35</v>
      </c>
      <c r="C634" s="8">
        <v>2010</v>
      </c>
      <c r="D634" s="9">
        <v>29.086019</v>
      </c>
      <c r="E634" s="9">
        <v>14.223339080810501</v>
      </c>
      <c r="F634" s="9">
        <v>2132.46</v>
      </c>
      <c r="G634" s="9">
        <v>2.6818907260894802</v>
      </c>
      <c r="H634" s="9">
        <v>331139.34375</v>
      </c>
      <c r="I634" s="9">
        <v>1173913</v>
      </c>
      <c r="J634" s="9">
        <v>1.1131788492202801</v>
      </c>
      <c r="K634" s="9">
        <v>0.43359133601188699</v>
      </c>
      <c r="L634" s="9" t="e">
        <f>IF(OR(OIT!#REF!="",OIT!#REF!=""),"",OIT!#REF!-OIT!#REF!)</f>
        <v>#REF!</v>
      </c>
      <c r="M634" s="9" t="e">
        <f>IF(OR(OIT!#REF!="",OIT!#REF!=""),"",OIT!#REF!-OIT!#REF!)</f>
        <v>#REF!</v>
      </c>
      <c r="N634" s="9" t="e">
        <f>IF(OR(OIT!#REF!="",OIT!#REF!=""),"",OIT!#REF!-OIT!#REF!)</f>
        <v>#REF!</v>
      </c>
      <c r="O634" s="9">
        <f t="shared" si="36"/>
        <v>30330.701656265162</v>
      </c>
      <c r="P634" s="9">
        <f t="shared" si="37"/>
        <v>23281.406839042356</v>
      </c>
      <c r="Q634" s="9">
        <f t="shared" si="38"/>
        <v>10.917628860115713</v>
      </c>
      <c r="R634" s="9">
        <f t="shared" si="39"/>
        <v>82534.276468441327</v>
      </c>
    </row>
    <row r="635" spans="1:18" ht="15.5">
      <c r="A635" s="7" t="s">
        <v>34</v>
      </c>
      <c r="B635" s="7" t="s">
        <v>35</v>
      </c>
      <c r="C635" s="8">
        <v>2011</v>
      </c>
      <c r="D635" s="9">
        <v>29.304086000000002</v>
      </c>
      <c r="E635" s="9">
        <v>14.5786247253418</v>
      </c>
      <c r="F635" s="9">
        <v>2132.88</v>
      </c>
      <c r="G635" s="9">
        <v>2.6988594532012899</v>
      </c>
      <c r="H635" s="9">
        <v>352091.15625</v>
      </c>
      <c r="I635" s="9">
        <v>1267724.375</v>
      </c>
      <c r="J635" s="9">
        <v>1.1119521856307999</v>
      </c>
      <c r="K635" s="9">
        <v>0.4199578166008</v>
      </c>
      <c r="L635" s="9" t="e">
        <f>IF(OR(OIT!#REF!="",OIT!#REF!=""),"",OIT!#REF!-OIT!#REF!)</f>
        <v>#REF!</v>
      </c>
      <c r="M635" s="9" t="e">
        <f>IF(OR(OIT!#REF!="",OIT!#REF!=""),"",OIT!#REF!-OIT!#REF!)</f>
        <v>#REF!</v>
      </c>
      <c r="N635" s="9" t="e">
        <f>IF(OR(OIT!#REF!="",OIT!#REF!=""),"",OIT!#REF!-OIT!#REF!)</f>
        <v>#REF!</v>
      </c>
      <c r="O635" s="9">
        <f t="shared" si="36"/>
        <v>31094.457104187022</v>
      </c>
      <c r="P635" s="9">
        <f t="shared" si="37"/>
        <v>24151.191410940522</v>
      </c>
      <c r="Q635" s="9">
        <f t="shared" si="38"/>
        <v>11.323277170277052</v>
      </c>
      <c r="R635" s="9">
        <f t="shared" si="39"/>
        <v>86957.747996375416</v>
      </c>
    </row>
    <row r="636" spans="1:18" ht="15.5">
      <c r="A636" s="7" t="s">
        <v>34</v>
      </c>
      <c r="B636" s="7" t="s">
        <v>35</v>
      </c>
      <c r="C636" s="8">
        <v>2012</v>
      </c>
      <c r="D636" s="9">
        <v>29.550366</v>
      </c>
      <c r="E636" s="9">
        <v>14.941999435424799</v>
      </c>
      <c r="F636" s="9">
        <v>2134.4699999999998</v>
      </c>
      <c r="G636" s="9">
        <v>2.7159352302551301</v>
      </c>
      <c r="H636" s="9">
        <v>373708.59375</v>
      </c>
      <c r="I636" s="9">
        <v>1376378.75</v>
      </c>
      <c r="J636" s="9">
        <v>1.1062382459640501</v>
      </c>
      <c r="K636" s="9">
        <v>0.44078135490417503</v>
      </c>
      <c r="L636" s="9" t="e">
        <f>IF(OR(OIT!#REF!="",OIT!#REF!=""),"",OIT!#REF!-OIT!#REF!)</f>
        <v>#REF!</v>
      </c>
      <c r="M636" s="9" t="e">
        <f>IF(OR(OIT!#REF!="",OIT!#REF!=""),"",OIT!#REF!-OIT!#REF!)</f>
        <v>#REF!</v>
      </c>
      <c r="N636" s="9" t="e">
        <f>IF(OR(OIT!#REF!="",OIT!#REF!=""),"",OIT!#REF!-OIT!#REF!)</f>
        <v>#REF!</v>
      </c>
      <c r="O636" s="9">
        <f t="shared" si="36"/>
        <v>31893.249534931168</v>
      </c>
      <c r="P636" s="9">
        <f t="shared" si="37"/>
        <v>25010.61490231381</v>
      </c>
      <c r="Q636" s="9">
        <f t="shared" si="38"/>
        <v>11.717482514307445</v>
      </c>
      <c r="R636" s="9">
        <f t="shared" si="39"/>
        <v>92114.763887412075</v>
      </c>
    </row>
    <row r="637" spans="1:18" ht="15.5">
      <c r="A637" s="7" t="s">
        <v>34</v>
      </c>
      <c r="B637" s="7" t="s">
        <v>35</v>
      </c>
      <c r="C637" s="8">
        <v>2013</v>
      </c>
      <c r="D637" s="9">
        <v>29.817919</v>
      </c>
      <c r="E637" s="9">
        <v>15.20725440979</v>
      </c>
      <c r="F637" s="9">
        <v>2137.36</v>
      </c>
      <c r="G637" s="9">
        <v>2.7331190109252899</v>
      </c>
      <c r="H637" s="9">
        <v>395579.90625</v>
      </c>
      <c r="I637" s="9">
        <v>1487837.75</v>
      </c>
      <c r="J637" s="9">
        <v>1.1064189672470099</v>
      </c>
      <c r="K637" s="9">
        <v>0.44770160317420998</v>
      </c>
      <c r="L637" s="9" t="e">
        <f>IF(OR(OIT!#REF!="",OIT!#REF!=""),"",OIT!#REF!-OIT!#REF!)</f>
        <v>#REF!</v>
      </c>
      <c r="M637" s="9" t="e">
        <f>IF(OR(OIT!#REF!="",OIT!#REF!=""),"",OIT!#REF!-OIT!#REF!)</f>
        <v>#REF!</v>
      </c>
      <c r="N637" s="9" t="e">
        <f>IF(OR(OIT!#REF!="",OIT!#REF!=""),"",OIT!#REF!-OIT!#REF!)</f>
        <v>#REF!</v>
      </c>
      <c r="O637" s="9">
        <f t="shared" si="36"/>
        <v>32503.377285308758</v>
      </c>
      <c r="P637" s="9">
        <f t="shared" si="37"/>
        <v>26012.578969898528</v>
      </c>
      <c r="Q637" s="9">
        <f t="shared" si="38"/>
        <v>12.170424715489448</v>
      </c>
      <c r="R637" s="9">
        <f t="shared" si="39"/>
        <v>97837.368265646437</v>
      </c>
    </row>
    <row r="638" spans="1:18" ht="15.5">
      <c r="A638" s="7" t="s">
        <v>34</v>
      </c>
      <c r="B638" s="7" t="s">
        <v>35</v>
      </c>
      <c r="C638" s="8">
        <v>2014</v>
      </c>
      <c r="D638" s="9">
        <v>30.115825999999998</v>
      </c>
      <c r="E638" s="9">
        <v>15.5599174499512</v>
      </c>
      <c r="F638" s="9">
        <v>2134.61</v>
      </c>
      <c r="G638" s="9">
        <v>2.7504117488861102</v>
      </c>
      <c r="H638" s="9">
        <v>405003.3125</v>
      </c>
      <c r="I638" s="9">
        <v>1590777.5</v>
      </c>
      <c r="J638" s="9">
        <v>1.0778057575225799</v>
      </c>
      <c r="K638" s="9">
        <v>0.45765608549117998</v>
      </c>
      <c r="L638" s="9" t="e">
        <f>IF(OR(OIT!#REF!="",OIT!#REF!=""),"",OIT!#REF!-OIT!#REF!)</f>
        <v>#REF!</v>
      </c>
      <c r="M638" s="9" t="e">
        <f>IF(OR(OIT!#REF!="",OIT!#REF!=""),"",OIT!#REF!-OIT!#REF!)</f>
        <v>#REF!</v>
      </c>
      <c r="N638" s="9" t="e">
        <f>IF(OR(OIT!#REF!="",OIT!#REF!=""),"",OIT!#REF!-OIT!#REF!)</f>
        <v>#REF!</v>
      </c>
      <c r="O638" s="9">
        <f t="shared" si="36"/>
        <v>33214.355387840333</v>
      </c>
      <c r="P638" s="9">
        <f t="shared" si="37"/>
        <v>26028.628609547679</v>
      </c>
      <c r="Q638" s="9">
        <f t="shared" si="38"/>
        <v>12.19362253973685</v>
      </c>
      <c r="R638" s="9">
        <f t="shared" si="39"/>
        <v>102235.60022839253</v>
      </c>
    </row>
    <row r="639" spans="1:18" ht="15.5">
      <c r="A639" s="7" t="s">
        <v>34</v>
      </c>
      <c r="B639" s="7" t="s">
        <v>35</v>
      </c>
      <c r="C639" s="8">
        <v>2015</v>
      </c>
      <c r="D639" s="9">
        <v>30.457599999999999</v>
      </c>
      <c r="E639" s="9">
        <v>15.8877515792847</v>
      </c>
      <c r="F639" s="9">
        <v>2133.84</v>
      </c>
      <c r="G639" s="9">
        <v>2.7678136825561501</v>
      </c>
      <c r="H639" s="9">
        <v>418174.96875</v>
      </c>
      <c r="I639" s="9">
        <v>1677864.5</v>
      </c>
      <c r="J639" s="9">
        <v>1.06816065311432</v>
      </c>
      <c r="K639" s="9">
        <v>0.46051892638206499</v>
      </c>
      <c r="L639" s="9" t="e">
        <f>IF(OR(OIT!#REF!="",OIT!#REF!=""),"",OIT!#REF!-OIT!#REF!)</f>
        <v>#REF!</v>
      </c>
      <c r="M639" s="9" t="e">
        <f>IF(OR(OIT!#REF!="",OIT!#REF!=""),"",OIT!#REF!-OIT!#REF!)</f>
        <v>#REF!</v>
      </c>
      <c r="N639" s="9" t="e">
        <f>IF(OR(OIT!#REF!="",OIT!#REF!=""),"",OIT!#REF!-OIT!#REF!)</f>
        <v>#REF!</v>
      </c>
      <c r="O639" s="9">
        <f t="shared" si="36"/>
        <v>33901.919829940867</v>
      </c>
      <c r="P639" s="9">
        <f t="shared" si="37"/>
        <v>26320.588326370791</v>
      </c>
      <c r="Q639" s="9">
        <f t="shared" si="38"/>
        <v>12.334846252001457</v>
      </c>
      <c r="R639" s="9">
        <f t="shared" si="39"/>
        <v>105607.42290228716</v>
      </c>
    </row>
    <row r="640" spans="1:18" ht="15.5">
      <c r="A640" s="7" t="s">
        <v>34</v>
      </c>
      <c r="B640" s="7" t="s">
        <v>35</v>
      </c>
      <c r="C640" s="8">
        <v>2016</v>
      </c>
      <c r="D640" s="9">
        <v>30.866493999999999</v>
      </c>
      <c r="E640" s="9">
        <v>16.0555419921875</v>
      </c>
      <c r="F640" s="9">
        <v>2139.42</v>
      </c>
      <c r="G640" s="9">
        <v>2.7853260040283199</v>
      </c>
      <c r="H640" s="9">
        <v>434706.78125</v>
      </c>
      <c r="I640" s="9">
        <v>1754756.25</v>
      </c>
      <c r="J640" s="9">
        <v>1.07538378238678</v>
      </c>
      <c r="K640" s="9">
        <v>0.45623189210891701</v>
      </c>
      <c r="L640" s="9" t="e">
        <f>IF(OR(OIT!#REF!="",OIT!#REF!=""),"",OIT!#REF!-OIT!#REF!)</f>
        <v>#REF!</v>
      </c>
      <c r="M640" s="9" t="e">
        <f>IF(OR(OIT!#REF!="",OIT!#REF!=""),"",OIT!#REF!-OIT!#REF!)</f>
        <v>#REF!</v>
      </c>
      <c r="N640" s="9" t="e">
        <f>IF(OR(OIT!#REF!="",OIT!#REF!=""),"",OIT!#REF!-OIT!#REF!)</f>
        <v>#REF!</v>
      </c>
      <c r="O640" s="9">
        <f t="shared" si="36"/>
        <v>34349.547648925785</v>
      </c>
      <c r="P640" s="9">
        <f t="shared" si="37"/>
        <v>27075.185718521672</v>
      </c>
      <c r="Q640" s="9">
        <f t="shared" si="38"/>
        <v>12.6553859076393</v>
      </c>
      <c r="R640" s="9">
        <f t="shared" si="39"/>
        <v>109292.86914473835</v>
      </c>
    </row>
    <row r="641" spans="1:18" ht="15.5">
      <c r="A641" s="7" t="s">
        <v>34</v>
      </c>
      <c r="B641" s="7" t="s">
        <v>35</v>
      </c>
      <c r="C641" s="8">
        <v>2017</v>
      </c>
      <c r="D641" s="9">
        <v>31.324636999999999</v>
      </c>
      <c r="E641" s="9">
        <v>16.34743309021</v>
      </c>
      <c r="F641" s="9">
        <v>2139.83</v>
      </c>
      <c r="G641" s="9">
        <v>2.8029489517211901</v>
      </c>
      <c r="H641" s="9">
        <v>445656.3125</v>
      </c>
      <c r="I641" s="9">
        <v>1830841.25</v>
      </c>
      <c r="J641" s="9">
        <v>1.0667426586151101</v>
      </c>
      <c r="K641" s="9">
        <v>0.448873430490494</v>
      </c>
      <c r="L641" s="9" t="e">
        <f>IF(OR(OIT!#REF!="",OIT!#REF!=""),"",OIT!#REF!-OIT!#REF!)</f>
        <v>#REF!</v>
      </c>
      <c r="M641" s="9" t="e">
        <f>IF(OR(OIT!#REF!="",OIT!#REF!=""),"",OIT!#REF!-OIT!#REF!)</f>
        <v>#REF!</v>
      </c>
      <c r="N641" s="9" t="e">
        <f>IF(OR(OIT!#REF!="",OIT!#REF!=""),"",OIT!#REF!-OIT!#REF!)</f>
        <v>#REF!</v>
      </c>
      <c r="O641" s="9">
        <f t="shared" si="36"/>
        <v>34980.727749424062</v>
      </c>
      <c r="P641" s="9">
        <f t="shared" si="37"/>
        <v>27261.546815376816</v>
      </c>
      <c r="Q641" s="9">
        <f t="shared" si="38"/>
        <v>12.740052628188602</v>
      </c>
      <c r="R641" s="9">
        <f t="shared" si="39"/>
        <v>111995.64114420125</v>
      </c>
    </row>
    <row r="642" spans="1:18" ht="15.5">
      <c r="A642" s="7" t="s">
        <v>34</v>
      </c>
      <c r="B642" s="7" t="s">
        <v>35</v>
      </c>
      <c r="C642" s="8">
        <v>2018</v>
      </c>
      <c r="D642" s="9">
        <v>31.897583999999998</v>
      </c>
      <c r="E642" s="9">
        <v>16.649898529052699</v>
      </c>
      <c r="F642" s="9">
        <v>2138.79</v>
      </c>
      <c r="G642" s="9">
        <v>2.8206834793090798</v>
      </c>
      <c r="H642" s="9">
        <v>463345.96875</v>
      </c>
      <c r="I642" s="9">
        <v>1912172</v>
      </c>
      <c r="J642" s="9">
        <v>1.07237017154694</v>
      </c>
      <c r="K642" s="9">
        <v>0.44447287917137102</v>
      </c>
      <c r="L642" s="9" t="e">
        <f>IF(OR(OIT!#REF!="",OIT!#REF!=""),"",OIT!#REF!-OIT!#REF!)</f>
        <v>#REF!</v>
      </c>
      <c r="M642" s="9" t="e">
        <f>IF(OR(OIT!#REF!="",OIT!#REF!=""),"",OIT!#REF!-OIT!#REF!)</f>
        <v>#REF!</v>
      </c>
      <c r="N642" s="9" t="e">
        <f>IF(OR(OIT!#REF!="",OIT!#REF!=""),"",OIT!#REF!-OIT!#REF!)</f>
        <v>#REF!</v>
      </c>
      <c r="O642" s="9">
        <f t="shared" ref="O642:O705" si="40">IFERROR(E642*F642,"")</f>
        <v>35610.636474952618</v>
      </c>
      <c r="P642" s="9">
        <f t="shared" ref="P642:P705" si="41">IFERROR(H642/E642,"")</f>
        <v>27828.756309925826</v>
      </c>
      <c r="Q642" s="9">
        <f t="shared" ref="Q642:Q705" si="42">IFERROR(H642/(E642*F642),"")</f>
        <v>13.011448674215714</v>
      </c>
      <c r="R642" s="9">
        <f t="shared" ref="R642:R705" si="43">IFERROR(I642/E642,"")</f>
        <v>114845.86507619957</v>
      </c>
    </row>
    <row r="643" spans="1:18" ht="15.5">
      <c r="A643" s="7" t="s">
        <v>34</v>
      </c>
      <c r="B643" s="7" t="s">
        <v>35</v>
      </c>
      <c r="C643" s="8">
        <v>2019</v>
      </c>
      <c r="D643" s="9">
        <v>32.449303</v>
      </c>
      <c r="E643" s="9">
        <v>17.3162326812744</v>
      </c>
      <c r="F643" s="9">
        <v>2111.94</v>
      </c>
      <c r="G643" s="9">
        <v>2.8385300636291499</v>
      </c>
      <c r="H643" s="9">
        <v>473727.84375</v>
      </c>
      <c r="I643" s="9">
        <v>1995610</v>
      </c>
      <c r="J643" s="9">
        <v>1.0559623241424601</v>
      </c>
      <c r="K643" s="9">
        <v>0.45470896363258401</v>
      </c>
      <c r="L643" s="9" t="e">
        <f>IF(OR(OIT!#REF!="",OIT!#REF!=""),"",OIT!#REF!-OIT!#REF!)</f>
        <v>#REF!</v>
      </c>
      <c r="M643" s="9" t="e">
        <f>IF(OR(OIT!#REF!="",OIT!#REF!=""),"",OIT!#REF!-OIT!#REF!)</f>
        <v>#REF!</v>
      </c>
      <c r="N643" s="9" t="e">
        <f>IF(OR(OIT!#REF!="",OIT!#REF!=""),"",OIT!#REF!-OIT!#REF!)</f>
        <v>#REF!</v>
      </c>
      <c r="O643" s="9">
        <f t="shared" si="40"/>
        <v>36570.844448890653</v>
      </c>
      <c r="P643" s="9">
        <f t="shared" si="41"/>
        <v>27357.442722647433</v>
      </c>
      <c r="Q643" s="9">
        <f t="shared" si="42"/>
        <v>12.953702625381135</v>
      </c>
      <c r="R643" s="9">
        <f t="shared" si="43"/>
        <v>115245.04415778801</v>
      </c>
    </row>
    <row r="644" spans="1:18" ht="15.5">
      <c r="A644" s="7" t="s">
        <v>34</v>
      </c>
      <c r="B644" s="7" t="s">
        <v>35</v>
      </c>
      <c r="C644" s="8">
        <v>2020</v>
      </c>
      <c r="D644" s="9">
        <v>32.838579000000003</v>
      </c>
      <c r="E644" s="9">
        <v>17.9068508148193</v>
      </c>
      <c r="F644" s="9">
        <v>2060.09</v>
      </c>
      <c r="G644" s="9">
        <v>2.8564896583557098</v>
      </c>
      <c r="H644" s="9">
        <v>421933.75</v>
      </c>
      <c r="I644" s="9">
        <v>2050502.625</v>
      </c>
      <c r="J644" s="9">
        <v>0.922110736370087</v>
      </c>
      <c r="K644" s="9">
        <v>0.43093290925025901</v>
      </c>
      <c r="L644" s="9" t="e">
        <f>IF(OR(OIT!#REF!="",OIT!#REF!=""),"",OIT!#REF!-OIT!#REF!)</f>
        <v>#REF!</v>
      </c>
      <c r="M644" s="9" t="e">
        <f>IF(OR(OIT!#REF!="",OIT!#REF!=""),"",OIT!#REF!-OIT!#REF!)</f>
        <v>#REF!</v>
      </c>
      <c r="N644" s="9" t="e">
        <f>IF(OR(OIT!#REF!="",OIT!#REF!=""),"",OIT!#REF!-OIT!#REF!)</f>
        <v>#REF!</v>
      </c>
      <c r="O644" s="9">
        <f t="shared" si="40"/>
        <v>36889.724295101092</v>
      </c>
      <c r="P644" s="9">
        <f t="shared" si="41"/>
        <v>23562.699793691099</v>
      </c>
      <c r="Q644" s="9">
        <f t="shared" si="42"/>
        <v>11.437704077827229</v>
      </c>
      <c r="R644" s="9">
        <f t="shared" si="43"/>
        <v>114509.39342740549</v>
      </c>
    </row>
    <row r="645" spans="1:18" ht="15.5">
      <c r="A645" s="7" t="s">
        <v>34</v>
      </c>
      <c r="B645" s="7" t="s">
        <v>35</v>
      </c>
      <c r="C645" s="8">
        <v>2021</v>
      </c>
      <c r="D645" s="9">
        <v>33.155881999999998</v>
      </c>
      <c r="E645" s="9">
        <v>18.4664611816406</v>
      </c>
      <c r="F645" s="9">
        <v>2095.2199999999998</v>
      </c>
      <c r="G645" s="9">
        <v>2.8354694843292201</v>
      </c>
      <c r="H645" s="9">
        <v>478283.96875</v>
      </c>
      <c r="I645" s="9">
        <v>2149082.25</v>
      </c>
      <c r="J645" s="9">
        <v>1</v>
      </c>
      <c r="K645" s="9">
        <v>0.39083153009414701</v>
      </c>
      <c r="L645" s="9" t="e">
        <f>IF(OR(OIT!#REF!="",OIT!#REF!=""),"",OIT!#REF!-OIT!#REF!)</f>
        <v>#REF!</v>
      </c>
      <c r="M645" s="9" t="e">
        <f>IF(OR(OIT!#REF!="",OIT!#REF!=""),"",OIT!#REF!-OIT!#REF!)</f>
        <v>#REF!</v>
      </c>
      <c r="N645" s="9" t="e">
        <f>IF(OR(OIT!#REF!="",OIT!#REF!=""),"",OIT!#REF!-OIT!#REF!)</f>
        <v>#REF!</v>
      </c>
      <c r="O645" s="9">
        <f t="shared" si="40"/>
        <v>38691.298796997013</v>
      </c>
      <c r="P645" s="9">
        <f t="shared" si="41"/>
        <v>25900.142103323567</v>
      </c>
      <c r="Q645" s="9">
        <f t="shared" si="42"/>
        <v>12.361538217143581</v>
      </c>
      <c r="R645" s="9">
        <f t="shared" si="43"/>
        <v>116377.59010029613</v>
      </c>
    </row>
    <row r="646" spans="1:18" ht="15.5">
      <c r="A646" s="7" t="s">
        <v>34</v>
      </c>
      <c r="B646" s="7" t="s">
        <v>35</v>
      </c>
      <c r="C646" s="8">
        <v>2022</v>
      </c>
      <c r="D646" s="9">
        <v>33.475437999999997</v>
      </c>
      <c r="E646" s="9">
        <v>19.034753799438501</v>
      </c>
      <c r="F646" s="9">
        <v>2138.61</v>
      </c>
      <c r="G646" s="9">
        <v>2.8148386478424099</v>
      </c>
      <c r="H646" s="9">
        <v>491319.59375</v>
      </c>
      <c r="I646" s="9">
        <v>2245606.5</v>
      </c>
      <c r="J646" s="9">
        <v>0.98337697982788097</v>
      </c>
      <c r="K646" s="9">
        <v>0.40053376555442799</v>
      </c>
      <c r="L646" s="9" t="e">
        <f>IF(OR(OIT!#REF!="",OIT!#REF!=""),"",OIT!#REF!-OIT!#REF!)</f>
        <v>#REF!</v>
      </c>
      <c r="M646" s="9" t="e">
        <f>IF(OR(OIT!#REF!="",OIT!#REF!=""),"",OIT!#REF!-OIT!#REF!)</f>
        <v>#REF!</v>
      </c>
      <c r="N646" s="9" t="e">
        <f>IF(OR(OIT!#REF!="",OIT!#REF!=""),"",OIT!#REF!-OIT!#REF!)</f>
        <v>#REF!</v>
      </c>
      <c r="O646" s="9">
        <f t="shared" si="40"/>
        <v>40707.914823017178</v>
      </c>
      <c r="P646" s="9">
        <f t="shared" si="41"/>
        <v>25811.7125614986</v>
      </c>
      <c r="Q646" s="9">
        <f t="shared" si="42"/>
        <v>12.06938738783537</v>
      </c>
      <c r="R646" s="9">
        <f t="shared" si="43"/>
        <v>117974.02391756925</v>
      </c>
    </row>
    <row r="647" spans="1:18" ht="15.5">
      <c r="A647" s="7" t="s">
        <v>34</v>
      </c>
      <c r="B647" s="7" t="s">
        <v>35</v>
      </c>
      <c r="C647" s="8">
        <v>2023</v>
      </c>
      <c r="D647" s="9">
        <v>33.845616999999997</v>
      </c>
      <c r="E647" s="9">
        <v>18.914415359497099</v>
      </c>
      <c r="F647" s="9">
        <v>2142.96</v>
      </c>
      <c r="G647" s="9">
        <v>2.7945890426635702</v>
      </c>
      <c r="H647" s="9">
        <v>488616.46875</v>
      </c>
      <c r="I647" s="9">
        <v>2327965.5</v>
      </c>
      <c r="J647" s="9">
        <v>0.962297022342682</v>
      </c>
      <c r="K647" s="9">
        <v>0.40053376555442799</v>
      </c>
      <c r="L647" s="9" t="e">
        <f>IF(OR(OIT!#REF!="",OIT!#REF!=""),"",OIT!#REF!-OIT!#REF!)</f>
        <v>#REF!</v>
      </c>
      <c r="M647" s="9" t="e">
        <f>IF(OR(OIT!#REF!="",OIT!#REF!=""),"",OIT!#REF!-OIT!#REF!)</f>
        <v>#REF!</v>
      </c>
      <c r="N647" s="9" t="e">
        <f>IF(OR(OIT!#REF!="",OIT!#REF!=""),"",OIT!#REF!-OIT!#REF!)</f>
        <v>#REF!</v>
      </c>
      <c r="O647" s="9">
        <f t="shared" si="40"/>
        <v>40532.835538787906</v>
      </c>
      <c r="P647" s="9">
        <f t="shared" si="41"/>
        <v>25833.019919627663</v>
      </c>
      <c r="Q647" s="9">
        <f t="shared" si="42"/>
        <v>12.054830663954373</v>
      </c>
      <c r="R647" s="9">
        <f t="shared" si="43"/>
        <v>123078.90335246907</v>
      </c>
    </row>
    <row r="648" spans="1:18" ht="15.5">
      <c r="A648" s="7" t="s">
        <v>34</v>
      </c>
      <c r="B648" s="7" t="s">
        <v>35</v>
      </c>
      <c r="C648" s="8">
        <v>2024</v>
      </c>
      <c r="D648" s="9"/>
      <c r="E648" s="9"/>
      <c r="F648" s="9"/>
      <c r="G648" s="9"/>
      <c r="H648" s="9"/>
      <c r="I648" s="9"/>
      <c r="J648" s="9"/>
      <c r="K648" s="9"/>
      <c r="L648" s="9" t="e">
        <f>IF(OR(OIT!#REF!="",OIT!#REF!=""),"",OIT!#REF!-OIT!#REF!)</f>
        <v>#REF!</v>
      </c>
      <c r="M648" s="9" t="e">
        <f>IF(OR(OIT!#REF!="",OIT!#REF!=""),"",OIT!#REF!-OIT!#REF!)</f>
        <v>#REF!</v>
      </c>
      <c r="N648" s="9" t="e">
        <f>IF(OR(OIT!#REF!="",OIT!#REF!=""),"",OIT!#REF!-OIT!#REF!)</f>
        <v>#REF!</v>
      </c>
      <c r="O648" s="9">
        <f t="shared" si="40"/>
        <v>0</v>
      </c>
      <c r="P648" s="9" t="str">
        <f t="shared" si="41"/>
        <v/>
      </c>
      <c r="Q648" s="9" t="str">
        <f t="shared" si="42"/>
        <v/>
      </c>
      <c r="R648" s="9" t="str">
        <f t="shared" si="43"/>
        <v/>
      </c>
    </row>
    <row r="649" spans="1:18" ht="15.5">
      <c r="A649" s="7" t="s">
        <v>34</v>
      </c>
      <c r="B649" s="7" t="s">
        <v>35</v>
      </c>
      <c r="C649" s="8">
        <v>2025</v>
      </c>
      <c r="D649" s="9"/>
      <c r="E649" s="9"/>
      <c r="F649" s="9"/>
      <c r="G649" s="9"/>
      <c r="H649" s="9"/>
      <c r="I649" s="9"/>
      <c r="J649" s="9"/>
      <c r="K649" s="9"/>
      <c r="L649" s="9" t="e">
        <f>IF(OR(OIT!#REF!="",OIT!#REF!=""),"",OIT!#REF!-OIT!#REF!)</f>
        <v>#REF!</v>
      </c>
      <c r="M649" s="9" t="e">
        <f>IF(OR(OIT!#REF!="",OIT!#REF!=""),"",OIT!#REF!-OIT!#REF!)</f>
        <v>#REF!</v>
      </c>
      <c r="N649" s="9" t="e">
        <f>IF(OR(OIT!#REF!="",OIT!#REF!=""),"",OIT!#REF!-OIT!#REF!)</f>
        <v>#REF!</v>
      </c>
      <c r="O649" s="9">
        <f t="shared" si="40"/>
        <v>0</v>
      </c>
      <c r="P649" s="9" t="str">
        <f t="shared" si="41"/>
        <v/>
      </c>
      <c r="Q649" s="9" t="str">
        <f t="shared" si="42"/>
        <v/>
      </c>
      <c r="R649" s="9" t="str">
        <f t="shared" si="43"/>
        <v/>
      </c>
    </row>
    <row r="650" spans="1:18" ht="15.5">
      <c r="A650" s="7" t="s">
        <v>36</v>
      </c>
      <c r="B650" s="7" t="s">
        <v>37</v>
      </c>
      <c r="C650" s="8">
        <v>1990</v>
      </c>
      <c r="D650" s="9">
        <v>3.104403</v>
      </c>
      <c r="E650" s="9">
        <v>1.2085809707641599</v>
      </c>
      <c r="F650" s="9">
        <v>1788</v>
      </c>
      <c r="G650" s="9">
        <v>2.3453552722930899</v>
      </c>
      <c r="H650" s="9">
        <v>36750.19921875</v>
      </c>
      <c r="I650" s="9">
        <v>163069.328125</v>
      </c>
      <c r="J650" s="9">
        <v>0.75402396917343095</v>
      </c>
      <c r="K650" s="9">
        <v>0.51688915491104104</v>
      </c>
      <c r="L650" s="9" t="e">
        <f>IF(OR(OIT!#REF!="",OIT!#REF!=""),"",OIT!#REF!-OIT!#REF!)</f>
        <v>#REF!</v>
      </c>
      <c r="M650" s="9" t="e">
        <f>IF(OR(OIT!#REF!="",OIT!#REF!=""),"",OIT!#REF!-OIT!#REF!)</f>
        <v>#REF!</v>
      </c>
      <c r="N650" s="9" t="e">
        <f>IF(OR(OIT!#REF!="",OIT!#REF!=""),"",OIT!#REF!-OIT!#REF!)</f>
        <v>#REF!</v>
      </c>
      <c r="O650" s="9">
        <f t="shared" si="40"/>
        <v>2160.9427757263179</v>
      </c>
      <c r="P650" s="9">
        <f t="shared" si="41"/>
        <v>30407.726174534779</v>
      </c>
      <c r="Q650" s="9">
        <f t="shared" si="42"/>
        <v>17.006558263162628</v>
      </c>
      <c r="R650" s="9">
        <f t="shared" si="43"/>
        <v>134926.27475500855</v>
      </c>
    </row>
    <row r="651" spans="1:18" ht="15.5">
      <c r="A651" s="7" t="s">
        <v>36</v>
      </c>
      <c r="B651" s="7" t="s">
        <v>37</v>
      </c>
      <c r="C651" s="8">
        <v>1991</v>
      </c>
      <c r="D651" s="9">
        <v>3.1223540000000001</v>
      </c>
      <c r="E651" s="9">
        <v>1.21771347522736</v>
      </c>
      <c r="F651" s="9">
        <v>1781.5</v>
      </c>
      <c r="G651" s="9">
        <v>2.3541889190673801</v>
      </c>
      <c r="H651" s="9">
        <v>37919.015625</v>
      </c>
      <c r="I651" s="9">
        <v>165574.328125</v>
      </c>
      <c r="J651" s="9">
        <v>0.76783716678619396</v>
      </c>
      <c r="K651" s="9">
        <v>0.51688915491104104</v>
      </c>
      <c r="L651" s="9" t="e">
        <f>IF(OR(OIT!#REF!="",OIT!#REF!=""),"",OIT!#REF!-OIT!#REF!)</f>
        <v>#REF!</v>
      </c>
      <c r="M651" s="9" t="e">
        <f>IF(OR(OIT!#REF!="",OIT!#REF!=""),"",OIT!#REF!-OIT!#REF!)</f>
        <v>#REF!</v>
      </c>
      <c r="N651" s="9" t="e">
        <f>IF(OR(OIT!#REF!="",OIT!#REF!=""),"",OIT!#REF!-OIT!#REF!)</f>
        <v>#REF!</v>
      </c>
      <c r="O651" s="9">
        <f t="shared" si="40"/>
        <v>2169.3565561175419</v>
      </c>
      <c r="P651" s="9">
        <f t="shared" si="41"/>
        <v>31139.522060327137</v>
      </c>
      <c r="Q651" s="9">
        <f t="shared" si="42"/>
        <v>17.479383699313576</v>
      </c>
      <c r="R651" s="9">
        <f t="shared" si="43"/>
        <v>135971.50026945831</v>
      </c>
    </row>
    <row r="652" spans="1:18" ht="15.5">
      <c r="A652" s="7" t="s">
        <v>36</v>
      </c>
      <c r="B652" s="7" t="s">
        <v>37</v>
      </c>
      <c r="C652" s="8">
        <v>1992</v>
      </c>
      <c r="D652" s="9">
        <v>3.1397020000000002</v>
      </c>
      <c r="E652" s="9">
        <v>1.2287244796752901</v>
      </c>
      <c r="F652" s="9">
        <v>1775.03</v>
      </c>
      <c r="G652" s="9">
        <v>2.3630557060241699</v>
      </c>
      <c r="H652" s="9">
        <v>41370.87890625</v>
      </c>
      <c r="I652" s="9">
        <v>170541.328125</v>
      </c>
      <c r="J652" s="9">
        <v>0.81924545764923096</v>
      </c>
      <c r="K652" s="9">
        <v>0.51688915491104104</v>
      </c>
      <c r="L652" s="9" t="e">
        <f>IF(OR(OIT!#REF!="",OIT!#REF!=""),"",OIT!#REF!-OIT!#REF!)</f>
        <v>#REF!</v>
      </c>
      <c r="M652" s="9" t="e">
        <f>IF(OR(OIT!#REF!="",OIT!#REF!=""),"",OIT!#REF!-OIT!#REF!)</f>
        <v>#REF!</v>
      </c>
      <c r="N652" s="9" t="e">
        <f>IF(OR(OIT!#REF!="",OIT!#REF!=""),"",OIT!#REF!-OIT!#REF!)</f>
        <v>#REF!</v>
      </c>
      <c r="O652" s="9">
        <f t="shared" si="40"/>
        <v>2181.0228131580302</v>
      </c>
      <c r="P652" s="9">
        <f t="shared" si="41"/>
        <v>33669.776740496709</v>
      </c>
      <c r="Q652" s="9">
        <f t="shared" si="42"/>
        <v>18.968567708994613</v>
      </c>
      <c r="R652" s="9">
        <f t="shared" si="43"/>
        <v>138795.4182943179</v>
      </c>
    </row>
    <row r="653" spans="1:18" ht="15.5">
      <c r="A653" s="7" t="s">
        <v>36</v>
      </c>
      <c r="B653" s="7" t="s">
        <v>37</v>
      </c>
      <c r="C653" s="8">
        <v>1993</v>
      </c>
      <c r="D653" s="9">
        <v>3.156345</v>
      </c>
      <c r="E653" s="9">
        <v>1.2235646247863801</v>
      </c>
      <c r="F653" s="9">
        <v>1768.57</v>
      </c>
      <c r="G653" s="9">
        <v>2.3719558715820299</v>
      </c>
      <c r="H653" s="9">
        <v>42448.60546875</v>
      </c>
      <c r="I653" s="9">
        <v>176482.578125</v>
      </c>
      <c r="J653" s="9">
        <v>0.82691961526870705</v>
      </c>
      <c r="K653" s="9">
        <v>0.51688915491104104</v>
      </c>
      <c r="L653" s="9" t="e">
        <f>IF(OR(OIT!#REF!="",OIT!#REF!=""),"",OIT!#REF!-OIT!#REF!)</f>
        <v>#REF!</v>
      </c>
      <c r="M653" s="9" t="e">
        <f>IF(OR(OIT!#REF!="",OIT!#REF!=""),"",OIT!#REF!-OIT!#REF!)</f>
        <v>#REF!</v>
      </c>
      <c r="N653" s="9" t="e">
        <f>IF(OR(OIT!#REF!="",OIT!#REF!=""),"",OIT!#REF!-OIT!#REF!)</f>
        <v>#REF!</v>
      </c>
      <c r="O653" s="9">
        <f t="shared" si="40"/>
        <v>2163.959688458448</v>
      </c>
      <c r="P653" s="9">
        <f t="shared" si="41"/>
        <v>34692.573329472507</v>
      </c>
      <c r="Q653" s="9">
        <f t="shared" si="42"/>
        <v>19.616172008725979</v>
      </c>
      <c r="R653" s="9">
        <f t="shared" si="43"/>
        <v>144236.41755400682</v>
      </c>
    </row>
    <row r="654" spans="1:18" ht="15.5">
      <c r="A654" s="7" t="s">
        <v>36</v>
      </c>
      <c r="B654" s="7" t="s">
        <v>37</v>
      </c>
      <c r="C654" s="8">
        <v>1994</v>
      </c>
      <c r="D654" s="9">
        <v>3.1728339999999999</v>
      </c>
      <c r="E654" s="9">
        <v>1.2540320158004801</v>
      </c>
      <c r="F654" s="9">
        <v>1762.15</v>
      </c>
      <c r="G654" s="9">
        <v>2.3808894157409699</v>
      </c>
      <c r="H654" s="9">
        <v>45542.73046875</v>
      </c>
      <c r="I654" s="9">
        <v>183091.3125</v>
      </c>
      <c r="J654" s="9">
        <v>0.85922306776046797</v>
      </c>
      <c r="K654" s="9">
        <v>0.51688915491104104</v>
      </c>
      <c r="L654" s="9" t="e">
        <f>IF(OR(OIT!#REF!="",OIT!#REF!=""),"",OIT!#REF!-OIT!#REF!)</f>
        <v>#REF!</v>
      </c>
      <c r="M654" s="9" t="e">
        <f>IF(OR(OIT!#REF!="",OIT!#REF!=""),"",OIT!#REF!-OIT!#REF!)</f>
        <v>#REF!</v>
      </c>
      <c r="N654" s="9" t="e">
        <f>IF(OR(OIT!#REF!="",OIT!#REF!=""),"",OIT!#REF!-OIT!#REF!)</f>
        <v>#REF!</v>
      </c>
      <c r="O654" s="9">
        <f t="shared" si="40"/>
        <v>2209.7925166428163</v>
      </c>
      <c r="P654" s="9">
        <f t="shared" si="41"/>
        <v>36317.039672770181</v>
      </c>
      <c r="Q654" s="9">
        <f t="shared" si="42"/>
        <v>20.609505248003959</v>
      </c>
      <c r="R654" s="9">
        <f t="shared" si="43"/>
        <v>146002.10376856147</v>
      </c>
    </row>
    <row r="655" spans="1:18" ht="15.5">
      <c r="A655" s="7" t="s">
        <v>36</v>
      </c>
      <c r="B655" s="7" t="s">
        <v>37</v>
      </c>
      <c r="C655" s="8">
        <v>1995</v>
      </c>
      <c r="D655" s="9">
        <v>3.1894399999999998</v>
      </c>
      <c r="E655" s="9">
        <v>1.2695497274398799</v>
      </c>
      <c r="F655" s="9">
        <v>1755.74</v>
      </c>
      <c r="G655" s="9">
        <v>2.3898568153381299</v>
      </c>
      <c r="H655" s="9">
        <v>44882.18359375</v>
      </c>
      <c r="I655" s="9">
        <v>188739.859375</v>
      </c>
      <c r="J655" s="9">
        <v>0.82776838541030895</v>
      </c>
      <c r="K655" s="9">
        <v>0.51688915491104104</v>
      </c>
      <c r="L655" s="9" t="e">
        <f>IF(OR(OIT!#REF!="",OIT!#REF!=""),"",OIT!#REF!-OIT!#REF!)</f>
        <v>#REF!</v>
      </c>
      <c r="M655" s="9" t="e">
        <f>IF(OR(OIT!#REF!="",OIT!#REF!=""),"",OIT!#REF!-OIT!#REF!)</f>
        <v>#REF!</v>
      </c>
      <c r="N655" s="9" t="e">
        <f>IF(OR(OIT!#REF!="",OIT!#REF!=""),"",OIT!#REF!-OIT!#REF!)</f>
        <v>#REF!</v>
      </c>
      <c r="O655" s="9">
        <f t="shared" si="40"/>
        <v>2228.9992384552947</v>
      </c>
      <c r="P655" s="9">
        <f t="shared" si="41"/>
        <v>35352.836225058709</v>
      </c>
      <c r="Q655" s="9">
        <f t="shared" si="42"/>
        <v>20.135576010718392</v>
      </c>
      <c r="R655" s="9">
        <f t="shared" si="43"/>
        <v>148666.77160854879</v>
      </c>
    </row>
    <row r="656" spans="1:18" ht="15.5">
      <c r="A656" s="7" t="s">
        <v>36</v>
      </c>
      <c r="B656" s="7" t="s">
        <v>37</v>
      </c>
      <c r="C656" s="8">
        <v>1996</v>
      </c>
      <c r="D656" s="9">
        <v>3.206324</v>
      </c>
      <c r="E656" s="9">
        <v>1.27085649967194</v>
      </c>
      <c r="F656" s="9">
        <v>1749.36</v>
      </c>
      <c r="G656" s="9">
        <v>2.4201071262359601</v>
      </c>
      <c r="H656" s="9">
        <v>47378.34375</v>
      </c>
      <c r="I656" s="9">
        <v>195374.6875</v>
      </c>
      <c r="J656" s="9">
        <v>0.85323876142501798</v>
      </c>
      <c r="K656" s="9">
        <v>0.51688915491104104</v>
      </c>
      <c r="L656" s="9" t="e">
        <f>IF(OR(OIT!#REF!="",OIT!#REF!=""),"",OIT!#REF!-OIT!#REF!)</f>
        <v>#REF!</v>
      </c>
      <c r="M656" s="9" t="e">
        <f>IF(OR(OIT!#REF!="",OIT!#REF!=""),"",OIT!#REF!-OIT!#REF!)</f>
        <v>#REF!</v>
      </c>
      <c r="N656" s="9" t="e">
        <f>IF(OR(OIT!#REF!="",OIT!#REF!=""),"",OIT!#REF!-OIT!#REF!)</f>
        <v>#REF!</v>
      </c>
      <c r="O656" s="9">
        <f t="shared" si="40"/>
        <v>2223.1855262661047</v>
      </c>
      <c r="P656" s="9">
        <f t="shared" si="41"/>
        <v>37280.640074021168</v>
      </c>
      <c r="Q656" s="9">
        <f t="shared" si="42"/>
        <v>21.311016642669991</v>
      </c>
      <c r="R656" s="9">
        <f t="shared" si="43"/>
        <v>153734.65654889768</v>
      </c>
    </row>
    <row r="657" spans="1:18" ht="15.5">
      <c r="A657" s="7" t="s">
        <v>36</v>
      </c>
      <c r="B657" s="7" t="s">
        <v>37</v>
      </c>
      <c r="C657" s="8">
        <v>1997</v>
      </c>
      <c r="D657" s="9">
        <v>3.2233450000000001</v>
      </c>
      <c r="E657" s="9">
        <v>1.28941297531128</v>
      </c>
      <c r="F657" s="9">
        <v>1743</v>
      </c>
      <c r="G657" s="9">
        <v>2.4507400989532502</v>
      </c>
      <c r="H657" s="9">
        <v>49714.58203125</v>
      </c>
      <c r="I657" s="9">
        <v>202912.9375</v>
      </c>
      <c r="J657" s="9">
        <v>0.86635923385620095</v>
      </c>
      <c r="K657" s="9">
        <v>0.51688915491104104</v>
      </c>
      <c r="L657" s="9" t="e">
        <f>IF(OR(OIT!#REF!="",OIT!#REF!=""),"",OIT!#REF!-OIT!#REF!)</f>
        <v>#REF!</v>
      </c>
      <c r="M657" s="9" t="e">
        <f>IF(OR(OIT!#REF!="",OIT!#REF!=""),"",OIT!#REF!-OIT!#REF!)</f>
        <v>#REF!</v>
      </c>
      <c r="N657" s="9" t="e">
        <f>IF(OR(OIT!#REF!="",OIT!#REF!=""),"",OIT!#REF!-OIT!#REF!)</f>
        <v>#REF!</v>
      </c>
      <c r="O657" s="9">
        <f t="shared" si="40"/>
        <v>2247.4468159675612</v>
      </c>
      <c r="P657" s="9">
        <f t="shared" si="41"/>
        <v>38555.980886766163</v>
      </c>
      <c r="Q657" s="9">
        <f t="shared" si="42"/>
        <v>22.120470962000091</v>
      </c>
      <c r="R657" s="9">
        <f t="shared" si="43"/>
        <v>157368.46253700397</v>
      </c>
    </row>
    <row r="658" spans="1:18" ht="15.5">
      <c r="A658" s="7" t="s">
        <v>36</v>
      </c>
      <c r="B658" s="7" t="s">
        <v>37</v>
      </c>
      <c r="C658" s="8">
        <v>1998</v>
      </c>
      <c r="D658" s="9">
        <v>3.2392799999999999</v>
      </c>
      <c r="E658" s="9">
        <v>1.33167111873627</v>
      </c>
      <c r="F658" s="9">
        <v>1736.66</v>
      </c>
      <c r="G658" s="9">
        <v>2.48176097869873</v>
      </c>
      <c r="H658" s="9">
        <v>51961.1328125</v>
      </c>
      <c r="I658" s="9">
        <v>211134.171875</v>
      </c>
      <c r="J658" s="9">
        <v>0.86746108531951904</v>
      </c>
      <c r="K658" s="9">
        <v>0.540155708789825</v>
      </c>
      <c r="L658" s="9" t="e">
        <f>IF(OR(OIT!#REF!="",OIT!#REF!=""),"",OIT!#REF!-OIT!#REF!)</f>
        <v>#REF!</v>
      </c>
      <c r="M658" s="9" t="e">
        <f>IF(OR(OIT!#REF!="",OIT!#REF!=""),"",OIT!#REF!-OIT!#REF!)</f>
        <v>#REF!</v>
      </c>
      <c r="N658" s="9" t="e">
        <f>IF(OR(OIT!#REF!="",OIT!#REF!=""),"",OIT!#REF!-OIT!#REF!)</f>
        <v>#REF!</v>
      </c>
      <c r="O658" s="9">
        <f t="shared" si="40"/>
        <v>2312.6599650645308</v>
      </c>
      <c r="P658" s="9">
        <f t="shared" si="41"/>
        <v>39019.493688359107</v>
      </c>
      <c r="Q658" s="9">
        <f t="shared" si="42"/>
        <v>22.468124842144753</v>
      </c>
      <c r="R658" s="9">
        <f t="shared" si="43"/>
        <v>158548.28486132689</v>
      </c>
    </row>
    <row r="659" spans="1:18" ht="15.5">
      <c r="A659" s="7" t="s">
        <v>36</v>
      </c>
      <c r="B659" s="7" t="s">
        <v>37</v>
      </c>
      <c r="C659" s="8">
        <v>1999</v>
      </c>
      <c r="D659" s="9">
        <v>3.2540149999999999</v>
      </c>
      <c r="E659" s="9">
        <v>1.2936481237411499</v>
      </c>
      <c r="F659" s="9">
        <v>1722</v>
      </c>
      <c r="G659" s="9">
        <v>2.5131745338439901</v>
      </c>
      <c r="H659" s="9">
        <v>50953.49609375</v>
      </c>
      <c r="I659" s="9">
        <v>217387.78125</v>
      </c>
      <c r="J659" s="9">
        <v>0.85123676061630305</v>
      </c>
      <c r="K659" s="9">
        <v>0.56282389163971003</v>
      </c>
      <c r="L659" s="9" t="e">
        <f>IF(OR(OIT!#REF!="",OIT!#REF!=""),"",OIT!#REF!-OIT!#REF!)</f>
        <v>#REF!</v>
      </c>
      <c r="M659" s="9" t="e">
        <f>IF(OR(OIT!#REF!="",OIT!#REF!=""),"",OIT!#REF!-OIT!#REF!)</f>
        <v>#REF!</v>
      </c>
      <c r="N659" s="9" t="e">
        <f>IF(OR(OIT!#REF!="",OIT!#REF!=""),"",OIT!#REF!-OIT!#REF!)</f>
        <v>#REF!</v>
      </c>
      <c r="O659" s="9">
        <f t="shared" si="40"/>
        <v>2227.6620690822601</v>
      </c>
      <c r="P659" s="9">
        <f t="shared" si="41"/>
        <v>39387.446368642857</v>
      </c>
      <c r="Q659" s="9">
        <f t="shared" si="42"/>
        <v>22.873081514891322</v>
      </c>
      <c r="R659" s="9">
        <f t="shared" si="43"/>
        <v>168042.43538909798</v>
      </c>
    </row>
    <row r="660" spans="1:18" ht="15.5">
      <c r="A660" s="7" t="s">
        <v>36</v>
      </c>
      <c r="B660" s="7" t="s">
        <v>37</v>
      </c>
      <c r="C660" s="8">
        <v>2000</v>
      </c>
      <c r="D660" s="9">
        <v>3.2662059999999999</v>
      </c>
      <c r="E660" s="9">
        <v>1.27692794799805</v>
      </c>
      <c r="F660" s="9">
        <v>1704.08</v>
      </c>
      <c r="G660" s="9">
        <v>2.5449855327606201</v>
      </c>
      <c r="H660" s="9">
        <v>49970.15625</v>
      </c>
      <c r="I660" s="9">
        <v>222231.421875</v>
      </c>
      <c r="J660" s="9">
        <v>0.83241474628448497</v>
      </c>
      <c r="K660" s="9">
        <v>0.56153804063796997</v>
      </c>
      <c r="L660" s="9" t="e">
        <f>IF(OR(OIT!#REF!="",OIT!#REF!=""),"",OIT!#REF!-OIT!#REF!)</f>
        <v>#REF!</v>
      </c>
      <c r="M660" s="9" t="e">
        <f>IF(OR(OIT!#REF!="",OIT!#REF!=""),"",OIT!#REF!-OIT!#REF!)</f>
        <v>#REF!</v>
      </c>
      <c r="N660" s="9" t="e">
        <f>IF(OR(OIT!#REF!="",OIT!#REF!=""),"",OIT!#REF!-OIT!#REF!)</f>
        <v>#REF!</v>
      </c>
      <c r="O660" s="9">
        <f t="shared" si="40"/>
        <v>2175.9873776245167</v>
      </c>
      <c r="P660" s="9">
        <f t="shared" si="41"/>
        <v>39133.105613627238</v>
      </c>
      <c r="Q660" s="9">
        <f t="shared" si="42"/>
        <v>22.964359427742384</v>
      </c>
      <c r="R660" s="9">
        <f t="shared" si="43"/>
        <v>174035.99179061854</v>
      </c>
    </row>
    <row r="661" spans="1:18" ht="15.5">
      <c r="A661" s="7" t="s">
        <v>36</v>
      </c>
      <c r="B661" s="7" t="s">
        <v>37</v>
      </c>
      <c r="C661" s="8">
        <v>2001</v>
      </c>
      <c r="D661" s="9">
        <v>3.274251</v>
      </c>
      <c r="E661" s="9">
        <v>1.2785576581955</v>
      </c>
      <c r="F661" s="9">
        <v>1672.77</v>
      </c>
      <c r="G661" s="9">
        <v>2.5419676303863499</v>
      </c>
      <c r="H661" s="9">
        <v>48049.22265625</v>
      </c>
      <c r="I661" s="9">
        <v>226142.078125</v>
      </c>
      <c r="J661" s="9">
        <v>0.80342745780944802</v>
      </c>
      <c r="K661" s="9">
        <v>0.55704808235168501</v>
      </c>
      <c r="L661" s="9" t="e">
        <f>IF(OR(OIT!#REF!="",OIT!#REF!=""),"",OIT!#REF!-OIT!#REF!)</f>
        <v>#REF!</v>
      </c>
      <c r="M661" s="9" t="e">
        <f>IF(OR(OIT!#REF!="",OIT!#REF!=""),"",OIT!#REF!-OIT!#REF!)</f>
        <v>#REF!</v>
      </c>
      <c r="N661" s="9" t="e">
        <f>IF(OR(OIT!#REF!="",OIT!#REF!=""),"",OIT!#REF!-OIT!#REF!)</f>
        <v>#REF!</v>
      </c>
      <c r="O661" s="9">
        <f t="shared" si="40"/>
        <v>2138.7328938996866</v>
      </c>
      <c r="P661" s="9">
        <f t="shared" si="41"/>
        <v>37580.802358232759</v>
      </c>
      <c r="Q661" s="9">
        <f t="shared" si="42"/>
        <v>22.466210153358059</v>
      </c>
      <c r="R661" s="9">
        <f t="shared" si="43"/>
        <v>176872.8040346393</v>
      </c>
    </row>
    <row r="662" spans="1:18" ht="15.5">
      <c r="A662" s="7" t="s">
        <v>36</v>
      </c>
      <c r="B662" s="7" t="s">
        <v>37</v>
      </c>
      <c r="C662" s="8">
        <v>2002</v>
      </c>
      <c r="D662" s="9">
        <v>3.278867</v>
      </c>
      <c r="E662" s="9">
        <v>1.2305160760879501</v>
      </c>
      <c r="F662" s="9">
        <v>1635.88</v>
      </c>
      <c r="G662" s="9">
        <v>2.5389533042907702</v>
      </c>
      <c r="H662" s="9">
        <v>44334.0625</v>
      </c>
      <c r="I662" s="9">
        <v>227528.984375</v>
      </c>
      <c r="J662" s="9">
        <v>0.76559919118881203</v>
      </c>
      <c r="K662" s="9">
        <v>0.51267188787460305</v>
      </c>
      <c r="L662" s="9" t="e">
        <f>IF(OR(OIT!#REF!="",OIT!#REF!=""),"",OIT!#REF!-OIT!#REF!)</f>
        <v>#REF!</v>
      </c>
      <c r="M662" s="9" t="e">
        <f>IF(OR(OIT!#REF!="",OIT!#REF!=""),"",OIT!#REF!-OIT!#REF!)</f>
        <v>#REF!</v>
      </c>
      <c r="N662" s="9" t="e">
        <f>IF(OR(OIT!#REF!="",OIT!#REF!=""),"",OIT!#REF!-OIT!#REF!)</f>
        <v>#REF!</v>
      </c>
      <c r="O662" s="9">
        <f t="shared" si="40"/>
        <v>2012.976638550756</v>
      </c>
      <c r="P662" s="9">
        <f t="shared" si="41"/>
        <v>36028.836487001943</v>
      </c>
      <c r="Q662" s="9">
        <f t="shared" si="42"/>
        <v>22.024131652078356</v>
      </c>
      <c r="R662" s="9">
        <f t="shared" si="43"/>
        <v>184905.33264576184</v>
      </c>
    </row>
    <row r="663" spans="1:18" ht="15.5">
      <c r="A663" s="7" t="s">
        <v>36</v>
      </c>
      <c r="B663" s="7" t="s">
        <v>37</v>
      </c>
      <c r="C663" s="8">
        <v>2003</v>
      </c>
      <c r="D663" s="9">
        <v>3.2811859999999999</v>
      </c>
      <c r="E663" s="9">
        <v>1.2209511995315601</v>
      </c>
      <c r="F663" s="9">
        <v>1612.8</v>
      </c>
      <c r="G663" s="9">
        <v>2.5359425544738801</v>
      </c>
      <c r="H663" s="9">
        <v>44691.078125</v>
      </c>
      <c r="I663" s="9">
        <v>228846.875</v>
      </c>
      <c r="J663" s="9">
        <v>0.77883321046829201</v>
      </c>
      <c r="K663" s="9">
        <v>0.45416080951690702</v>
      </c>
      <c r="L663" s="9" t="e">
        <f>IF(OR(OIT!#REF!="",OIT!#REF!=""),"",OIT!#REF!-OIT!#REF!)</f>
        <v>#REF!</v>
      </c>
      <c r="M663" s="9" t="e">
        <f>IF(OR(OIT!#REF!="",OIT!#REF!=""),"",OIT!#REF!-OIT!#REF!)</f>
        <v>#REF!</v>
      </c>
      <c r="N663" s="9" t="e">
        <f>IF(OR(OIT!#REF!="",OIT!#REF!=""),"",OIT!#REF!-OIT!#REF!)</f>
        <v>#REF!</v>
      </c>
      <c r="O663" s="9">
        <f t="shared" si="40"/>
        <v>1969.1500946045001</v>
      </c>
      <c r="P663" s="9">
        <f t="shared" si="41"/>
        <v>36603.492541017644</v>
      </c>
      <c r="Q663" s="9">
        <f t="shared" si="42"/>
        <v>22.695617894976216</v>
      </c>
      <c r="R663" s="9">
        <f t="shared" si="43"/>
        <v>187433.26931313981</v>
      </c>
    </row>
    <row r="664" spans="1:18" ht="15.5">
      <c r="A664" s="7" t="s">
        <v>36</v>
      </c>
      <c r="B664" s="7" t="s">
        <v>37</v>
      </c>
      <c r="C664" s="8">
        <v>2004</v>
      </c>
      <c r="D664" s="9">
        <v>3.2831480000000002</v>
      </c>
      <c r="E664" s="9">
        <v>1.2875400781631501</v>
      </c>
      <c r="F664" s="9">
        <v>1638.45</v>
      </c>
      <c r="G664" s="9">
        <v>2.5329353809356698</v>
      </c>
      <c r="H664" s="9">
        <v>46927.5078125</v>
      </c>
      <c r="I664" s="9">
        <v>231918.53125</v>
      </c>
      <c r="J664" s="9">
        <v>0.78605586290359497</v>
      </c>
      <c r="K664" s="9">
        <v>0.44734728336334201</v>
      </c>
      <c r="L664" s="9" t="e">
        <f>IF(OR(OIT!#REF!="",OIT!#REF!=""),"",OIT!#REF!-OIT!#REF!)</f>
        <v>#REF!</v>
      </c>
      <c r="M664" s="9" t="e">
        <f>IF(OR(OIT!#REF!="",OIT!#REF!=""),"",OIT!#REF!-OIT!#REF!)</f>
        <v>#REF!</v>
      </c>
      <c r="N664" s="9" t="e">
        <f>IF(OR(OIT!#REF!="",OIT!#REF!=""),"",OIT!#REF!-OIT!#REF!)</f>
        <v>#REF!</v>
      </c>
      <c r="O664" s="9">
        <f t="shared" si="40"/>
        <v>2109.5700410664135</v>
      </c>
      <c r="P664" s="9">
        <f t="shared" si="41"/>
        <v>36447.415197706643</v>
      </c>
      <c r="Q664" s="9">
        <f t="shared" si="42"/>
        <v>22.245057949712621</v>
      </c>
      <c r="R664" s="9">
        <f t="shared" si="43"/>
        <v>180125.29099743685</v>
      </c>
    </row>
    <row r="665" spans="1:18" ht="15.5">
      <c r="A665" s="7" t="s">
        <v>36</v>
      </c>
      <c r="B665" s="7" t="s">
        <v>37</v>
      </c>
      <c r="C665" s="8">
        <v>2005</v>
      </c>
      <c r="D665" s="9">
        <v>3.285771</v>
      </c>
      <c r="E665" s="9">
        <v>1.3046240806579601</v>
      </c>
      <c r="F665" s="9">
        <v>1628</v>
      </c>
      <c r="G665" s="9">
        <v>2.5299317836761501</v>
      </c>
      <c r="H665" s="9">
        <v>50428.265625</v>
      </c>
      <c r="I665" s="9">
        <v>236904.71875</v>
      </c>
      <c r="J665" s="9">
        <v>0.830344378948212</v>
      </c>
      <c r="K665" s="9">
        <v>0.47414481639862099</v>
      </c>
      <c r="L665" s="9" t="e">
        <f>IF(OR(OIT!#REF!="",OIT!#REF!=""),"",OIT!#REF!-OIT!#REF!)</f>
        <v>#REF!</v>
      </c>
      <c r="M665" s="9" t="e">
        <f>IF(OR(OIT!#REF!="",OIT!#REF!=""),"",OIT!#REF!-OIT!#REF!)</f>
        <v>#REF!</v>
      </c>
      <c r="N665" s="9" t="e">
        <f>IF(OR(OIT!#REF!="",OIT!#REF!=""),"",OIT!#REF!-OIT!#REF!)</f>
        <v>#REF!</v>
      </c>
      <c r="O665" s="9">
        <f t="shared" si="40"/>
        <v>2123.928003311159</v>
      </c>
      <c r="P665" s="9">
        <f t="shared" si="41"/>
        <v>38653.483691307883</v>
      </c>
      <c r="Q665" s="9">
        <f t="shared" si="42"/>
        <v>23.742926100311966</v>
      </c>
      <c r="R665" s="9">
        <f t="shared" si="43"/>
        <v>181588.4914760442</v>
      </c>
    </row>
    <row r="666" spans="1:18" ht="15.5">
      <c r="A666" s="7" t="s">
        <v>36</v>
      </c>
      <c r="B666" s="7" t="s">
        <v>37</v>
      </c>
      <c r="C666" s="8">
        <v>2006</v>
      </c>
      <c r="D666" s="9">
        <v>3.2895059999999998</v>
      </c>
      <c r="E666" s="9">
        <v>1.3822661638259901</v>
      </c>
      <c r="F666" s="9">
        <v>1622.8</v>
      </c>
      <c r="G666" s="9">
        <v>2.5415289402008101</v>
      </c>
      <c r="H666" s="9">
        <v>52495.16015625</v>
      </c>
      <c r="I666" s="9">
        <v>243345</v>
      </c>
      <c r="J666" s="9">
        <v>0.82545787096023604</v>
      </c>
      <c r="K666" s="9">
        <v>0.47852757573127702</v>
      </c>
      <c r="L666" s="9" t="e">
        <f>IF(OR(OIT!#REF!="",OIT!#REF!=""),"",OIT!#REF!-OIT!#REF!)</f>
        <v>#REF!</v>
      </c>
      <c r="M666" s="9" t="e">
        <f>IF(OR(OIT!#REF!="",OIT!#REF!=""),"",OIT!#REF!-OIT!#REF!)</f>
        <v>#REF!</v>
      </c>
      <c r="N666" s="9" t="e">
        <f>IF(OR(OIT!#REF!="",OIT!#REF!=""),"",OIT!#REF!-OIT!#REF!)</f>
        <v>#REF!</v>
      </c>
      <c r="O666" s="9">
        <f t="shared" si="40"/>
        <v>2243.1415306568165</v>
      </c>
      <c r="P666" s="9">
        <f t="shared" si="41"/>
        <v>37977.606288898845</v>
      </c>
      <c r="Q666" s="9">
        <f t="shared" si="42"/>
        <v>23.402518048372471</v>
      </c>
      <c r="R666" s="9">
        <f t="shared" si="43"/>
        <v>176047.85993346074</v>
      </c>
    </row>
    <row r="667" spans="1:18" ht="15.5">
      <c r="A667" s="7" t="s">
        <v>36</v>
      </c>
      <c r="B667" s="7" t="s">
        <v>37</v>
      </c>
      <c r="C667" s="8">
        <v>2007</v>
      </c>
      <c r="D667" s="9">
        <v>3.295153</v>
      </c>
      <c r="E667" s="9">
        <v>1.45593869686127</v>
      </c>
      <c r="F667" s="9">
        <v>1608.6</v>
      </c>
      <c r="G667" s="9">
        <v>2.5531792640686</v>
      </c>
      <c r="H667" s="9">
        <v>55929.140625</v>
      </c>
      <c r="I667" s="9">
        <v>250637.6875</v>
      </c>
      <c r="J667" s="9">
        <v>0.843253493309021</v>
      </c>
      <c r="K667" s="9">
        <v>0.48291030526161199</v>
      </c>
      <c r="L667" s="9" t="e">
        <f>IF(OR(OIT!#REF!="",OIT!#REF!=""),"",OIT!#REF!-OIT!#REF!)</f>
        <v>#REF!</v>
      </c>
      <c r="M667" s="9" t="e">
        <f>IF(OR(OIT!#REF!="",OIT!#REF!=""),"",OIT!#REF!-OIT!#REF!)</f>
        <v>#REF!</v>
      </c>
      <c r="N667" s="9" t="e">
        <f>IF(OR(OIT!#REF!="",OIT!#REF!=""),"",OIT!#REF!-OIT!#REF!)</f>
        <v>#REF!</v>
      </c>
      <c r="O667" s="9">
        <f t="shared" si="40"/>
        <v>2342.022987771039</v>
      </c>
      <c r="P667" s="9">
        <f t="shared" si="41"/>
        <v>38414.488704485091</v>
      </c>
      <c r="Q667" s="9">
        <f t="shared" si="42"/>
        <v>23.880696695564524</v>
      </c>
      <c r="R667" s="9">
        <f t="shared" si="43"/>
        <v>172148.51699479361</v>
      </c>
    </row>
    <row r="668" spans="1:18" ht="15.5">
      <c r="A668" s="7" t="s">
        <v>36</v>
      </c>
      <c r="B668" s="7" t="s">
        <v>37</v>
      </c>
      <c r="C668" s="8">
        <v>2008</v>
      </c>
      <c r="D668" s="9">
        <v>3.3021769999999999</v>
      </c>
      <c r="E668" s="9">
        <v>1.49231600761414</v>
      </c>
      <c r="F668" s="9">
        <v>1623.33</v>
      </c>
      <c r="G668" s="9">
        <v>2.5632803440093999</v>
      </c>
      <c r="H668" s="9">
        <v>59942.69921875</v>
      </c>
      <c r="I668" s="9">
        <v>260223.125</v>
      </c>
      <c r="J668" s="9">
        <v>0.86399644613266002</v>
      </c>
      <c r="K668" s="9">
        <v>0.48729306459426902</v>
      </c>
      <c r="L668" s="9" t="e">
        <f>IF(OR(OIT!#REF!="",OIT!#REF!=""),"",OIT!#REF!-OIT!#REF!)</f>
        <v>#REF!</v>
      </c>
      <c r="M668" s="9" t="e">
        <f>IF(OR(OIT!#REF!="",OIT!#REF!=""),"",OIT!#REF!-OIT!#REF!)</f>
        <v>#REF!</v>
      </c>
      <c r="N668" s="9" t="e">
        <f>IF(OR(OIT!#REF!="",OIT!#REF!=""),"",OIT!#REF!-OIT!#REF!)</f>
        <v>#REF!</v>
      </c>
      <c r="O668" s="9">
        <f t="shared" si="40"/>
        <v>2422.5213446402618</v>
      </c>
      <c r="P668" s="9">
        <f t="shared" si="41"/>
        <v>40167.56431808581</v>
      </c>
      <c r="Q668" s="9">
        <f t="shared" si="42"/>
        <v>24.743930265618086</v>
      </c>
      <c r="R668" s="9">
        <f t="shared" si="43"/>
        <v>174375.34923721361</v>
      </c>
    </row>
    <row r="669" spans="1:18" ht="15.5">
      <c r="A669" s="7" t="s">
        <v>36</v>
      </c>
      <c r="B669" s="7" t="s">
        <v>37</v>
      </c>
      <c r="C669" s="8">
        <v>2009</v>
      </c>
      <c r="D669" s="9">
        <v>3.3100909999999999</v>
      </c>
      <c r="E669" s="9">
        <v>1.52039122581482</v>
      </c>
      <c r="F669" s="9">
        <v>1603.92</v>
      </c>
      <c r="G669" s="9">
        <v>2.5711853504180899</v>
      </c>
      <c r="H669" s="9">
        <v>62486.36328125</v>
      </c>
      <c r="I669" s="9">
        <v>267923.375</v>
      </c>
      <c r="J669" s="9">
        <v>0.88001549243927002</v>
      </c>
      <c r="K669" s="9">
        <v>0.49167579412460299</v>
      </c>
      <c r="L669" s="9" t="e">
        <f>IF(OR(OIT!#REF!="",OIT!#REF!=""),"",OIT!#REF!-OIT!#REF!)</f>
        <v>#REF!</v>
      </c>
      <c r="M669" s="9" t="e">
        <f>IF(OR(OIT!#REF!="",OIT!#REF!=""),"",OIT!#REF!-OIT!#REF!)</f>
        <v>#REF!</v>
      </c>
      <c r="N669" s="9" t="e">
        <f>IF(OR(OIT!#REF!="",OIT!#REF!=""),"",OIT!#REF!-OIT!#REF!)</f>
        <v>#REF!</v>
      </c>
      <c r="O669" s="9">
        <f t="shared" si="40"/>
        <v>2438.5858949089061</v>
      </c>
      <c r="P669" s="9">
        <f t="shared" si="41"/>
        <v>41098.871277530438</v>
      </c>
      <c r="Q669" s="9">
        <f t="shared" si="42"/>
        <v>25.624015709967104</v>
      </c>
      <c r="R669" s="9">
        <f t="shared" si="43"/>
        <v>176220.02182787683</v>
      </c>
    </row>
    <row r="670" spans="1:18" ht="15.5">
      <c r="A670" s="7" t="s">
        <v>36</v>
      </c>
      <c r="B670" s="7" t="s">
        <v>37</v>
      </c>
      <c r="C670" s="8">
        <v>2010</v>
      </c>
      <c r="D670" s="9">
        <v>3.3185799999999999</v>
      </c>
      <c r="E670" s="9">
        <v>1.52458620071411</v>
      </c>
      <c r="F670" s="9">
        <v>1597.61</v>
      </c>
      <c r="G670" s="9">
        <v>2.5791146755218501</v>
      </c>
      <c r="H670" s="9">
        <v>67362.4296875</v>
      </c>
      <c r="I670" s="9">
        <v>277571.125</v>
      </c>
      <c r="J670" s="9">
        <v>0.92424637079238903</v>
      </c>
      <c r="K670" s="9">
        <v>0.49605855345726002</v>
      </c>
      <c r="L670" s="9" t="e">
        <f>IF(OR(OIT!#REF!="",OIT!#REF!=""),"",OIT!#REF!-OIT!#REF!)</f>
        <v>#REF!</v>
      </c>
      <c r="M670" s="9" t="e">
        <f>IF(OR(OIT!#REF!="",OIT!#REF!=""),"",OIT!#REF!-OIT!#REF!)</f>
        <v>#REF!</v>
      </c>
      <c r="N670" s="9" t="e">
        <f>IF(OR(OIT!#REF!="",OIT!#REF!=""),"",OIT!#REF!-OIT!#REF!)</f>
        <v>#REF!</v>
      </c>
      <c r="O670" s="9">
        <f t="shared" si="40"/>
        <v>2435.6941601228691</v>
      </c>
      <c r="P670" s="9">
        <f t="shared" si="41"/>
        <v>44184.074115289586</v>
      </c>
      <c r="Q670" s="9">
        <f t="shared" si="42"/>
        <v>27.656358006828693</v>
      </c>
      <c r="R670" s="9">
        <f t="shared" si="43"/>
        <v>182063.25419316193</v>
      </c>
    </row>
    <row r="671" spans="1:18" ht="15.5">
      <c r="A671" s="7" t="s">
        <v>36</v>
      </c>
      <c r="B671" s="7" t="s">
        <v>37</v>
      </c>
      <c r="C671" s="8">
        <v>2011</v>
      </c>
      <c r="D671" s="9">
        <v>3.3268249999999999</v>
      </c>
      <c r="E671" s="9">
        <v>1.5864996910095199</v>
      </c>
      <c r="F671" s="9">
        <v>1592.42</v>
      </c>
      <c r="G671" s="9">
        <v>2.6003246307372998</v>
      </c>
      <c r="H671" s="9">
        <v>71824.3046875</v>
      </c>
      <c r="I671" s="9">
        <v>287413.46875</v>
      </c>
      <c r="J671" s="9">
        <v>0.94152849912643399</v>
      </c>
      <c r="K671" s="9">
        <v>0.50044131278991699</v>
      </c>
      <c r="L671" s="9" t="e">
        <f>IF(OR(OIT!#REF!="",OIT!#REF!=""),"",OIT!#REF!-OIT!#REF!)</f>
        <v>#REF!</v>
      </c>
      <c r="M671" s="9" t="e">
        <f>IF(OR(OIT!#REF!="",OIT!#REF!=""),"",OIT!#REF!-OIT!#REF!)</f>
        <v>#REF!</v>
      </c>
      <c r="N671" s="9" t="e">
        <f>IF(OR(OIT!#REF!="",OIT!#REF!=""),"",OIT!#REF!-OIT!#REF!)</f>
        <v>#REF!</v>
      </c>
      <c r="O671" s="9">
        <f t="shared" si="40"/>
        <v>2526.3738379573797</v>
      </c>
      <c r="P671" s="9">
        <f t="shared" si="41"/>
        <v>45272.183218514736</v>
      </c>
      <c r="Q671" s="9">
        <f t="shared" si="42"/>
        <v>28.429800692351726</v>
      </c>
      <c r="R671" s="9">
        <f t="shared" si="43"/>
        <v>181162.00739195439</v>
      </c>
    </row>
    <row r="672" spans="1:18" ht="15.5">
      <c r="A672" s="7" t="s">
        <v>36</v>
      </c>
      <c r="B672" s="7" t="s">
        <v>37</v>
      </c>
      <c r="C672" s="8">
        <v>2012</v>
      </c>
      <c r="D672" s="9">
        <v>3.3354010000000001</v>
      </c>
      <c r="E672" s="9">
        <v>1.5713753700256301</v>
      </c>
      <c r="F672" s="9">
        <v>1578.64</v>
      </c>
      <c r="G672" s="9">
        <v>2.6217091083526598</v>
      </c>
      <c r="H672" s="9">
        <v>75399.109375</v>
      </c>
      <c r="I672" s="9">
        <v>299877.375</v>
      </c>
      <c r="J672" s="9">
        <v>0.96698427200317405</v>
      </c>
      <c r="K672" s="9">
        <v>0.50482404232025202</v>
      </c>
      <c r="L672" s="9" t="e">
        <f>IF(OR(OIT!#REF!="",OIT!#REF!=""),"",OIT!#REF!-OIT!#REF!)</f>
        <v>#REF!</v>
      </c>
      <c r="M672" s="9" t="e">
        <f>IF(OR(OIT!#REF!="",OIT!#REF!=""),"",OIT!#REF!-OIT!#REF!)</f>
        <v>#REF!</v>
      </c>
      <c r="N672" s="9" t="e">
        <f>IF(OR(OIT!#REF!="",OIT!#REF!=""),"",OIT!#REF!-OIT!#REF!)</f>
        <v>#REF!</v>
      </c>
      <c r="O672" s="9">
        <f t="shared" si="40"/>
        <v>2480.6360141372606</v>
      </c>
      <c r="P672" s="9">
        <f t="shared" si="41"/>
        <v>47982.875901745996</v>
      </c>
      <c r="Q672" s="9">
        <f t="shared" si="42"/>
        <v>30.395071645052699</v>
      </c>
      <c r="R672" s="9">
        <f t="shared" si="43"/>
        <v>190837.51770597551</v>
      </c>
    </row>
    <row r="673" spans="1:18" ht="15.5">
      <c r="A673" s="7" t="s">
        <v>36</v>
      </c>
      <c r="B673" s="7" t="s">
        <v>37</v>
      </c>
      <c r="C673" s="8">
        <v>2013</v>
      </c>
      <c r="D673" s="9">
        <v>3.3453369999999998</v>
      </c>
      <c r="E673" s="9">
        <v>1.5687115192413299</v>
      </c>
      <c r="F673" s="9">
        <v>1571.8</v>
      </c>
      <c r="G673" s="9">
        <v>2.6432693004608199</v>
      </c>
      <c r="H673" s="9">
        <v>79992.2734375</v>
      </c>
      <c r="I673" s="9">
        <v>312153.21875</v>
      </c>
      <c r="J673" s="9">
        <v>1.0000014305114699</v>
      </c>
      <c r="K673" s="9">
        <v>0.50834977626800504</v>
      </c>
      <c r="L673" s="9" t="e">
        <f>IF(OR(OIT!#REF!="",OIT!#REF!=""),"",OIT!#REF!-OIT!#REF!)</f>
        <v>#REF!</v>
      </c>
      <c r="M673" s="9" t="e">
        <f>IF(OR(OIT!#REF!="",OIT!#REF!=""),"",OIT!#REF!-OIT!#REF!)</f>
        <v>#REF!</v>
      </c>
      <c r="N673" s="9" t="e">
        <f>IF(OR(OIT!#REF!="",OIT!#REF!=""),"",OIT!#REF!-OIT!#REF!)</f>
        <v>#REF!</v>
      </c>
      <c r="O673" s="9">
        <f t="shared" si="40"/>
        <v>2465.7007659435221</v>
      </c>
      <c r="P673" s="9">
        <f t="shared" si="41"/>
        <v>50992.341457520735</v>
      </c>
      <c r="Q673" s="9">
        <f t="shared" si="42"/>
        <v>32.442003726632358</v>
      </c>
      <c r="R673" s="9">
        <f t="shared" si="43"/>
        <v>198987.01253941547</v>
      </c>
    </row>
    <row r="674" spans="1:18" ht="15.5">
      <c r="A674" s="7" t="s">
        <v>36</v>
      </c>
      <c r="B674" s="7" t="s">
        <v>37</v>
      </c>
      <c r="C674" s="8">
        <v>2014</v>
      </c>
      <c r="D674" s="9">
        <v>3.3563339999999999</v>
      </c>
      <c r="E674" s="9">
        <v>1.59857261180878</v>
      </c>
      <c r="F674" s="9">
        <v>1567.34</v>
      </c>
      <c r="G674" s="9">
        <v>2.66500687599182</v>
      </c>
      <c r="H674" s="9">
        <v>83730.765625</v>
      </c>
      <c r="I674" s="9">
        <v>324113.5625</v>
      </c>
      <c r="J674" s="9">
        <v>1.01141226291657</v>
      </c>
      <c r="K674" s="9">
        <v>0.51187551021575906</v>
      </c>
      <c r="L674" s="9" t="e">
        <f>IF(OR(OIT!#REF!="",OIT!#REF!=""),"",OIT!#REF!-OIT!#REF!)</f>
        <v>#REF!</v>
      </c>
      <c r="M674" s="9" t="e">
        <f>IF(OR(OIT!#REF!="",OIT!#REF!=""),"",OIT!#REF!-OIT!#REF!)</f>
        <v>#REF!</v>
      </c>
      <c r="N674" s="9" t="e">
        <f>IF(OR(OIT!#REF!="",OIT!#REF!=""),"",OIT!#REF!-OIT!#REF!)</f>
        <v>#REF!</v>
      </c>
      <c r="O674" s="9">
        <f t="shared" si="40"/>
        <v>2505.5067973923728</v>
      </c>
      <c r="P674" s="9">
        <f t="shared" si="41"/>
        <v>52378.456259336817</v>
      </c>
      <c r="Q674" s="9">
        <f t="shared" si="42"/>
        <v>33.418694258640009</v>
      </c>
      <c r="R674" s="9">
        <f t="shared" si="43"/>
        <v>202751.85506479215</v>
      </c>
    </row>
    <row r="675" spans="1:18" ht="15.5">
      <c r="A675" s="7" t="s">
        <v>36</v>
      </c>
      <c r="B675" s="7" t="s">
        <v>37</v>
      </c>
      <c r="C675" s="8">
        <v>2015</v>
      </c>
      <c r="D675" s="9">
        <v>3.368017</v>
      </c>
      <c r="E675" s="9">
        <v>1.5666246414184599</v>
      </c>
      <c r="F675" s="9">
        <v>1556.43</v>
      </c>
      <c r="G675" s="9">
        <v>2.6869232654571502</v>
      </c>
      <c r="H675" s="9">
        <v>85209.2265625</v>
      </c>
      <c r="I675" s="9">
        <v>333340.96875</v>
      </c>
      <c r="J675" s="9">
        <v>1.0237458944320701</v>
      </c>
      <c r="K675" s="9">
        <v>0.51540124416351296</v>
      </c>
      <c r="L675" s="9" t="e">
        <f>IF(OR(OIT!#REF!="",OIT!#REF!=""),"",OIT!#REF!-OIT!#REF!)</f>
        <v>#REF!</v>
      </c>
      <c r="M675" s="9" t="e">
        <f>IF(OR(OIT!#REF!="",OIT!#REF!=""),"",OIT!#REF!-OIT!#REF!)</f>
        <v>#REF!</v>
      </c>
      <c r="N675" s="9" t="e">
        <f>IF(OR(OIT!#REF!="",OIT!#REF!=""),"",OIT!#REF!-OIT!#REF!)</f>
        <v>#REF!</v>
      </c>
      <c r="O675" s="9">
        <f t="shared" si="40"/>
        <v>2438.3415906429336</v>
      </c>
      <c r="P675" s="9">
        <f t="shared" si="41"/>
        <v>54390.32701882533</v>
      </c>
      <c r="Q675" s="9">
        <f t="shared" si="42"/>
        <v>34.945565826169712</v>
      </c>
      <c r="R675" s="9">
        <f t="shared" si="43"/>
        <v>212776.53876820489</v>
      </c>
    </row>
    <row r="676" spans="1:18" ht="15.5">
      <c r="A676" s="7" t="s">
        <v>36</v>
      </c>
      <c r="B676" s="7" t="s">
        <v>37</v>
      </c>
      <c r="C676" s="8">
        <v>2016</v>
      </c>
      <c r="D676" s="9">
        <v>3.379283</v>
      </c>
      <c r="E676" s="9">
        <v>1.5597944259643599</v>
      </c>
      <c r="F676" s="9">
        <v>1532.51</v>
      </c>
      <c r="G676" s="9">
        <v>2.7090198993682901</v>
      </c>
      <c r="H676" s="9">
        <v>88228.046875</v>
      </c>
      <c r="I676" s="9">
        <v>341789.875</v>
      </c>
      <c r="J676" s="9">
        <v>1.0521658658981301</v>
      </c>
      <c r="K676" s="9">
        <v>0.51892697811126698</v>
      </c>
      <c r="L676" s="9" t="e">
        <f>IF(OR(OIT!#REF!="",OIT!#REF!=""),"",OIT!#REF!-OIT!#REF!)</f>
        <v>#REF!</v>
      </c>
      <c r="M676" s="9" t="e">
        <f>IF(OR(OIT!#REF!="",OIT!#REF!=""),"",OIT!#REF!-OIT!#REF!)</f>
        <v>#REF!</v>
      </c>
      <c r="N676" s="9" t="e">
        <f>IF(OR(OIT!#REF!="",OIT!#REF!=""),"",OIT!#REF!-OIT!#REF!)</f>
        <v>#REF!</v>
      </c>
      <c r="O676" s="9">
        <f t="shared" si="40"/>
        <v>2390.4005557346413</v>
      </c>
      <c r="P676" s="9">
        <f t="shared" si="41"/>
        <v>56563.894194231427</v>
      </c>
      <c r="Q676" s="9">
        <f t="shared" si="42"/>
        <v>36.909314910983568</v>
      </c>
      <c r="R676" s="9">
        <f t="shared" si="43"/>
        <v>219124.94961551402</v>
      </c>
    </row>
    <row r="677" spans="1:18" ht="15.5">
      <c r="A677" s="7" t="s">
        <v>36</v>
      </c>
      <c r="B677" s="7" t="s">
        <v>37</v>
      </c>
      <c r="C677" s="8">
        <v>2017</v>
      </c>
      <c r="D677" s="9">
        <v>3.3884379999999998</v>
      </c>
      <c r="E677" s="9">
        <v>1.55407762527466</v>
      </c>
      <c r="F677" s="9">
        <v>1541.65</v>
      </c>
      <c r="G677" s="9">
        <v>2.7312982082366899</v>
      </c>
      <c r="H677" s="9">
        <v>89763.546875</v>
      </c>
      <c r="I677" s="9">
        <v>349964.71875</v>
      </c>
      <c r="J677" s="9">
        <v>1.05283880233765</v>
      </c>
      <c r="K677" s="9">
        <v>0.51892697811126698</v>
      </c>
      <c r="L677" s="9" t="e">
        <f>IF(OR(OIT!#REF!="",OIT!#REF!=""),"",OIT!#REF!-OIT!#REF!)</f>
        <v>#REF!</v>
      </c>
      <c r="M677" s="9" t="e">
        <f>IF(OR(OIT!#REF!="",OIT!#REF!=""),"",OIT!#REF!-OIT!#REF!)</f>
        <v>#REF!</v>
      </c>
      <c r="N677" s="9" t="e">
        <f>IF(OR(OIT!#REF!="",OIT!#REF!=""),"",OIT!#REF!-OIT!#REF!)</f>
        <v>#REF!</v>
      </c>
      <c r="O677" s="9">
        <f t="shared" si="40"/>
        <v>2395.8437710046796</v>
      </c>
      <c r="P677" s="9">
        <f t="shared" si="41"/>
        <v>57760.014953651778</v>
      </c>
      <c r="Q677" s="9">
        <f t="shared" si="42"/>
        <v>37.466360687349123</v>
      </c>
      <c r="R677" s="9">
        <f t="shared" si="43"/>
        <v>225191.27298300108</v>
      </c>
    </row>
    <row r="678" spans="1:18" ht="15.5">
      <c r="A678" s="7" t="s">
        <v>36</v>
      </c>
      <c r="B678" s="7" t="s">
        <v>37</v>
      </c>
      <c r="C678" s="8">
        <v>2018</v>
      </c>
      <c r="D678" s="9">
        <v>3.3945340000000002</v>
      </c>
      <c r="E678" s="9">
        <v>1.5431125164032</v>
      </c>
      <c r="F678" s="9">
        <v>1534.75</v>
      </c>
      <c r="G678" s="9">
        <v>2.7537596225738499</v>
      </c>
      <c r="H678" s="9">
        <v>89911.21875</v>
      </c>
      <c r="I678" s="9">
        <v>355914.53125</v>
      </c>
      <c r="J678" s="9">
        <v>1.04855573177338</v>
      </c>
      <c r="K678" s="9">
        <v>0.51892697811126698</v>
      </c>
      <c r="L678" s="9" t="e">
        <f>IF(OR(OIT!#REF!="",OIT!#REF!=""),"",OIT!#REF!-OIT!#REF!)</f>
        <v>#REF!</v>
      </c>
      <c r="M678" s="9" t="e">
        <f>IF(OR(OIT!#REF!="",OIT!#REF!=""),"",OIT!#REF!-OIT!#REF!)</f>
        <v>#REF!</v>
      </c>
      <c r="N678" s="9" t="e">
        <f>IF(OR(OIT!#REF!="",OIT!#REF!=""),"",OIT!#REF!-OIT!#REF!)</f>
        <v>#REF!</v>
      </c>
      <c r="O678" s="9">
        <f t="shared" si="40"/>
        <v>2368.2919345498112</v>
      </c>
      <c r="P678" s="9">
        <f t="shared" si="41"/>
        <v>58266.145724468406</v>
      </c>
      <c r="Q678" s="9">
        <f t="shared" si="42"/>
        <v>37.964584280481127</v>
      </c>
      <c r="R678" s="9">
        <f t="shared" si="43"/>
        <v>230647.16763466591</v>
      </c>
    </row>
    <row r="679" spans="1:18" ht="15.5">
      <c r="A679" s="7" t="s">
        <v>36</v>
      </c>
      <c r="B679" s="7" t="s">
        <v>37</v>
      </c>
      <c r="C679" s="8">
        <v>2019</v>
      </c>
      <c r="D679" s="9">
        <v>3.3972060000000002</v>
      </c>
      <c r="E679" s="9">
        <v>1.5414125919342001</v>
      </c>
      <c r="F679" s="9">
        <v>1517.34</v>
      </c>
      <c r="G679" s="9">
        <v>2.77640581130981</v>
      </c>
      <c r="H679" s="9">
        <v>90746.0859375</v>
      </c>
      <c r="I679" s="9">
        <v>361183.75</v>
      </c>
      <c r="J679" s="9">
        <v>1.05387628078461</v>
      </c>
      <c r="K679" s="9">
        <v>0.51892697811126698</v>
      </c>
      <c r="L679" s="9" t="e">
        <f>IF(OR(OIT!#REF!="",OIT!#REF!=""),"",OIT!#REF!-OIT!#REF!)</f>
        <v>#REF!</v>
      </c>
      <c r="M679" s="9" t="e">
        <f>IF(OR(OIT!#REF!="",OIT!#REF!=""),"",OIT!#REF!-OIT!#REF!)</f>
        <v>#REF!</v>
      </c>
      <c r="N679" s="9" t="e">
        <f>IF(OR(OIT!#REF!="",OIT!#REF!=""),"",OIT!#REF!-OIT!#REF!)</f>
        <v>#REF!</v>
      </c>
      <c r="O679" s="9">
        <f t="shared" si="40"/>
        <v>2338.846982245439</v>
      </c>
      <c r="P679" s="9">
        <f t="shared" si="41"/>
        <v>58872.028431809886</v>
      </c>
      <c r="Q679" s="9">
        <f t="shared" si="42"/>
        <v>38.799496771857257</v>
      </c>
      <c r="R679" s="9">
        <f t="shared" si="43"/>
        <v>234319.96850809315</v>
      </c>
    </row>
    <row r="680" spans="1:18" ht="15.5">
      <c r="A680" s="7" t="s">
        <v>36</v>
      </c>
      <c r="B680" s="7" t="s">
        <v>37</v>
      </c>
      <c r="C680" s="8">
        <v>2020</v>
      </c>
      <c r="D680" s="9">
        <v>3.398968</v>
      </c>
      <c r="E680" s="9">
        <v>1.46341776847839</v>
      </c>
      <c r="F680" s="9">
        <v>1499.72</v>
      </c>
      <c r="G680" s="9">
        <v>2.7992382049560498</v>
      </c>
      <c r="H680" s="9">
        <v>84048.9765625</v>
      </c>
      <c r="I680" s="9">
        <v>366101.03125</v>
      </c>
      <c r="J680" s="9">
        <v>0.99875360727310203</v>
      </c>
      <c r="K680" s="9">
        <v>0.51892697811126698</v>
      </c>
      <c r="L680" s="9" t="e">
        <f>IF(OR(OIT!#REF!="",OIT!#REF!=""),"",OIT!#REF!-OIT!#REF!)</f>
        <v>#REF!</v>
      </c>
      <c r="M680" s="9" t="e">
        <f>IF(OR(OIT!#REF!="",OIT!#REF!=""),"",OIT!#REF!-OIT!#REF!)</f>
        <v>#REF!</v>
      </c>
      <c r="N680" s="9" t="e">
        <f>IF(OR(OIT!#REF!="",OIT!#REF!=""),"",OIT!#REF!-OIT!#REF!)</f>
        <v>#REF!</v>
      </c>
      <c r="O680" s="9">
        <f t="shared" si="40"/>
        <v>2194.716895742411</v>
      </c>
      <c r="P680" s="9">
        <f t="shared" si="41"/>
        <v>57433.344307340994</v>
      </c>
      <c r="Q680" s="9">
        <f t="shared" si="42"/>
        <v>38.296044799923315</v>
      </c>
      <c r="R680" s="9">
        <f t="shared" si="43"/>
        <v>250168.50221154475</v>
      </c>
    </row>
    <row r="681" spans="1:18" ht="15.5">
      <c r="A681" s="7" t="s">
        <v>36</v>
      </c>
      <c r="B681" s="7" t="s">
        <v>37</v>
      </c>
      <c r="C681" s="8">
        <v>2021</v>
      </c>
      <c r="D681" s="9">
        <v>3.3966949999999998</v>
      </c>
      <c r="E681" s="9">
        <v>1.5271176099777199</v>
      </c>
      <c r="F681" s="9">
        <v>1501.31</v>
      </c>
      <c r="G681" s="9">
        <v>2.8979823589325</v>
      </c>
      <c r="H681" s="9">
        <v>88723.6953125</v>
      </c>
      <c r="I681" s="9">
        <v>374393.5625</v>
      </c>
      <c r="J681" s="9">
        <v>1</v>
      </c>
      <c r="K681" s="9">
        <v>0.51892697811126698</v>
      </c>
      <c r="L681" s="9" t="e">
        <f>IF(OR(OIT!#REF!="",OIT!#REF!=""),"",OIT!#REF!-OIT!#REF!)</f>
        <v>#REF!</v>
      </c>
      <c r="M681" s="9" t="e">
        <f>IF(OR(OIT!#REF!="",OIT!#REF!=""),"",OIT!#REF!-OIT!#REF!)</f>
        <v>#REF!</v>
      </c>
      <c r="N681" s="9" t="e">
        <f>IF(OR(OIT!#REF!="",OIT!#REF!=""),"",OIT!#REF!-OIT!#REF!)</f>
        <v>#REF!</v>
      </c>
      <c r="O681" s="9">
        <f t="shared" si="40"/>
        <v>2292.6769390356508</v>
      </c>
      <c r="P681" s="9">
        <f t="shared" si="41"/>
        <v>58098.796538528848</v>
      </c>
      <c r="Q681" s="9">
        <f t="shared" si="42"/>
        <v>38.698734131211303</v>
      </c>
      <c r="R681" s="9">
        <f t="shared" si="43"/>
        <v>245163.54212264126</v>
      </c>
    </row>
    <row r="682" spans="1:18" ht="15.5">
      <c r="A682" s="7" t="s">
        <v>36</v>
      </c>
      <c r="B682" s="7" t="s">
        <v>37</v>
      </c>
      <c r="C682" s="8">
        <v>2022</v>
      </c>
      <c r="D682" s="9">
        <v>3.3909129999999998</v>
      </c>
      <c r="E682" s="9">
        <v>1.5622366666793801</v>
      </c>
      <c r="F682" s="9">
        <v>1523.15</v>
      </c>
      <c r="G682" s="9">
        <v>3.0002100467681898</v>
      </c>
      <c r="H682" s="9">
        <v>92900.1171875</v>
      </c>
      <c r="I682" s="9">
        <v>384880.09375</v>
      </c>
      <c r="J682" s="9">
        <v>0.99374699592590299</v>
      </c>
      <c r="K682" s="9">
        <v>0.51892697811126698</v>
      </c>
      <c r="L682" s="9" t="e">
        <f>IF(OR(OIT!#REF!="",OIT!#REF!=""),"",OIT!#REF!-OIT!#REF!)</f>
        <v>#REF!</v>
      </c>
      <c r="M682" s="9" t="e">
        <f>IF(OR(OIT!#REF!="",OIT!#REF!=""),"",OIT!#REF!-OIT!#REF!)</f>
        <v>#REF!</v>
      </c>
      <c r="N682" s="9" t="e">
        <f>IF(OR(OIT!#REF!="",OIT!#REF!=""),"",OIT!#REF!-OIT!#REF!)</f>
        <v>#REF!</v>
      </c>
      <c r="O682" s="9">
        <f t="shared" si="40"/>
        <v>2379.5207788526977</v>
      </c>
      <c r="P682" s="9">
        <f t="shared" si="41"/>
        <v>59466.097019067092</v>
      </c>
      <c r="Q682" s="9">
        <f t="shared" si="42"/>
        <v>39.041523828294714</v>
      </c>
      <c r="R682" s="9">
        <f t="shared" si="43"/>
        <v>246364.78067569865</v>
      </c>
    </row>
    <row r="683" spans="1:18" ht="15.5">
      <c r="A683" s="7" t="s">
        <v>36</v>
      </c>
      <c r="B683" s="7" t="s">
        <v>37</v>
      </c>
      <c r="C683" s="8">
        <v>2023</v>
      </c>
      <c r="D683" s="9">
        <v>3.3880810000000001</v>
      </c>
      <c r="E683" s="9">
        <v>1.5793105363845801</v>
      </c>
      <c r="F683" s="9">
        <v>1481.13</v>
      </c>
      <c r="G683" s="9">
        <v>3.01220703125</v>
      </c>
      <c r="H683" s="9">
        <v>93241.5078125</v>
      </c>
      <c r="I683" s="9">
        <v>393232.15625</v>
      </c>
      <c r="J683" s="9">
        <v>0.99380534887313798</v>
      </c>
      <c r="K683" s="9">
        <v>0.51892697811126698</v>
      </c>
      <c r="L683" s="9" t="e">
        <f>IF(OR(OIT!#REF!="",OIT!#REF!=""),"",OIT!#REF!-OIT!#REF!)</f>
        <v>#REF!</v>
      </c>
      <c r="M683" s="9" t="e">
        <f>IF(OR(OIT!#REF!="",OIT!#REF!=""),"",OIT!#REF!-OIT!#REF!)</f>
        <v>#REF!</v>
      </c>
      <c r="N683" s="9" t="e">
        <f>IF(OR(OIT!#REF!="",OIT!#REF!=""),"",OIT!#REF!-OIT!#REF!)</f>
        <v>#REF!</v>
      </c>
      <c r="O683" s="9">
        <f t="shared" si="40"/>
        <v>2339.1642147552934</v>
      </c>
      <c r="P683" s="9">
        <f t="shared" si="41"/>
        <v>59039.375515059968</v>
      </c>
      <c r="Q683" s="9">
        <f t="shared" si="42"/>
        <v>39.861035503338641</v>
      </c>
      <c r="R683" s="9">
        <f t="shared" si="43"/>
        <v>248989.76305838025</v>
      </c>
    </row>
    <row r="684" spans="1:18" ht="15.5">
      <c r="A684" s="7" t="s">
        <v>36</v>
      </c>
      <c r="B684" s="7" t="s">
        <v>37</v>
      </c>
      <c r="C684" s="8">
        <v>2024</v>
      </c>
      <c r="D684" s="9"/>
      <c r="E684" s="9"/>
      <c r="F684" s="9"/>
      <c r="G684" s="9"/>
      <c r="H684" s="9"/>
      <c r="I684" s="9"/>
      <c r="J684" s="9"/>
      <c r="K684" s="9"/>
      <c r="L684" s="9" t="e">
        <f>IF(OR(OIT!#REF!="",OIT!#REF!=""),"",OIT!#REF!-OIT!#REF!)</f>
        <v>#REF!</v>
      </c>
      <c r="M684" s="9" t="e">
        <f>IF(OR(OIT!#REF!="",OIT!#REF!=""),"",OIT!#REF!-OIT!#REF!)</f>
        <v>#REF!</v>
      </c>
      <c r="N684" s="9" t="e">
        <f>IF(OR(OIT!#REF!="",OIT!#REF!=""),"",OIT!#REF!-OIT!#REF!)</f>
        <v>#REF!</v>
      </c>
      <c r="O684" s="9">
        <f t="shared" si="40"/>
        <v>0</v>
      </c>
      <c r="P684" s="9" t="str">
        <f t="shared" si="41"/>
        <v/>
      </c>
      <c r="Q684" s="9" t="str">
        <f t="shared" si="42"/>
        <v/>
      </c>
      <c r="R684" s="9" t="str">
        <f t="shared" si="43"/>
        <v/>
      </c>
    </row>
    <row r="685" spans="1:18" ht="15.5">
      <c r="A685" s="7" t="s">
        <v>36</v>
      </c>
      <c r="B685" s="7" t="s">
        <v>37</v>
      </c>
      <c r="C685" s="8">
        <v>2025</v>
      </c>
      <c r="D685" s="9"/>
      <c r="E685" s="9"/>
      <c r="F685" s="9"/>
      <c r="G685" s="9"/>
      <c r="H685" s="9"/>
      <c r="I685" s="9"/>
      <c r="J685" s="9"/>
      <c r="K685" s="9"/>
      <c r="L685" s="9" t="e">
        <f>IF(OR(OIT!#REF!="",OIT!#REF!=""),"",OIT!#REF!-OIT!#REF!)</f>
        <v>#REF!</v>
      </c>
      <c r="M685" s="9" t="e">
        <f>IF(OR(OIT!#REF!="",OIT!#REF!=""),"",OIT!#REF!-OIT!#REF!)</f>
        <v>#REF!</v>
      </c>
      <c r="N685" s="9" t="e">
        <f>IF(OR(OIT!#REF!="",OIT!#REF!=""),"",OIT!#REF!-OIT!#REF!)</f>
        <v>#REF!</v>
      </c>
      <c r="O685" s="9">
        <f t="shared" si="40"/>
        <v>0</v>
      </c>
      <c r="P685" s="9" t="str">
        <f t="shared" si="41"/>
        <v/>
      </c>
      <c r="Q685" s="9" t="str">
        <f t="shared" si="42"/>
        <v/>
      </c>
      <c r="R685" s="9" t="str">
        <f t="shared" si="43"/>
        <v/>
      </c>
    </row>
    <row r="686" spans="1:18" ht="15.5">
      <c r="A686" s="7" t="s">
        <v>38</v>
      </c>
      <c r="B686" s="7" t="s">
        <v>39</v>
      </c>
      <c r="C686" s="8">
        <v>1990</v>
      </c>
      <c r="D686" s="9">
        <v>19.827010000000001</v>
      </c>
      <c r="E686" s="9">
        <v>6.4044671058654803</v>
      </c>
      <c r="F686" s="9">
        <v>1889</v>
      </c>
      <c r="G686" s="9">
        <v>1.8143347501754801</v>
      </c>
      <c r="H686" s="9">
        <v>9770.162109375</v>
      </c>
      <c r="I686" s="9">
        <v>86829.3671875</v>
      </c>
      <c r="J686" s="9">
        <v>3.6832926273345898</v>
      </c>
      <c r="K686" s="9">
        <v>0.41925904154777499</v>
      </c>
      <c r="L686" s="9" t="e">
        <f>IF(OR(OIT!#REF!="",OIT!#REF!=""),"",OIT!#REF!-OIT!#REF!)</f>
        <v>#REF!</v>
      </c>
      <c r="M686" s="9" t="e">
        <f>IF(OR(OIT!#REF!="",OIT!#REF!=""),"",OIT!#REF!-OIT!#REF!)</f>
        <v>#REF!</v>
      </c>
      <c r="N686" s="9" t="e">
        <f>IF(OR(OIT!#REF!="",OIT!#REF!=""),"",OIT!#REF!-OIT!#REF!)</f>
        <v>#REF!</v>
      </c>
      <c r="O686" s="9">
        <f t="shared" si="40"/>
        <v>12098.038362979893</v>
      </c>
      <c r="P686" s="9">
        <f t="shared" si="41"/>
        <v>1525.5230369482381</v>
      </c>
      <c r="Q686" s="9">
        <f t="shared" si="42"/>
        <v>0.80758233824681736</v>
      </c>
      <c r="R686" s="9">
        <f t="shared" si="43"/>
        <v>13557.62559979081</v>
      </c>
    </row>
    <row r="687" spans="1:18" ht="15.5">
      <c r="A687" s="7" t="s">
        <v>38</v>
      </c>
      <c r="B687" s="7" t="s">
        <v>39</v>
      </c>
      <c r="C687" s="8">
        <v>1991</v>
      </c>
      <c r="D687" s="9">
        <v>20.304895999999999</v>
      </c>
      <c r="E687" s="9">
        <v>6.7011880874633798</v>
      </c>
      <c r="F687" s="9">
        <v>1878.47</v>
      </c>
      <c r="G687" s="9">
        <v>1.84804356098175</v>
      </c>
      <c r="H687" s="9">
        <v>10720.7548828125</v>
      </c>
      <c r="I687" s="9">
        <v>88711.6953125</v>
      </c>
      <c r="J687" s="9">
        <v>3.8859910964965798</v>
      </c>
      <c r="K687" s="9">
        <v>0.44575265049934398</v>
      </c>
      <c r="L687" s="9" t="e">
        <f>IF(OR(OIT!#REF!="",OIT!#REF!=""),"",OIT!#REF!-OIT!#REF!)</f>
        <v>#REF!</v>
      </c>
      <c r="M687" s="9" t="e">
        <f>IF(OR(OIT!#REF!="",OIT!#REF!=""),"",OIT!#REF!-OIT!#REF!)</f>
        <v>#REF!</v>
      </c>
      <c r="N687" s="9" t="e">
        <f>IF(OR(OIT!#REF!="",OIT!#REF!=""),"",OIT!#REF!-OIT!#REF!)</f>
        <v>#REF!</v>
      </c>
      <c r="O687" s="9">
        <f t="shared" si="40"/>
        <v>12587.980786657336</v>
      </c>
      <c r="P687" s="9">
        <f t="shared" si="41"/>
        <v>1599.8289770240815</v>
      </c>
      <c r="Q687" s="9">
        <f t="shared" si="42"/>
        <v>0.85166597125537347</v>
      </c>
      <c r="R687" s="9">
        <f t="shared" si="43"/>
        <v>13238.204054958902</v>
      </c>
    </row>
    <row r="688" spans="1:18" ht="15.5">
      <c r="A688" s="7" t="s">
        <v>38</v>
      </c>
      <c r="B688" s="7" t="s">
        <v>39</v>
      </c>
      <c r="C688" s="8">
        <v>1992</v>
      </c>
      <c r="D688" s="9">
        <v>20.780947999999999</v>
      </c>
      <c r="E688" s="9">
        <v>6.9863820075988796</v>
      </c>
      <c r="F688" s="9">
        <v>1868</v>
      </c>
      <c r="G688" s="9">
        <v>1.88237845897675</v>
      </c>
      <c r="H688" s="9">
        <v>11370.498046875</v>
      </c>
      <c r="I688" s="9">
        <v>92059.84375</v>
      </c>
      <c r="J688" s="9">
        <v>3.9211165904998802</v>
      </c>
      <c r="K688" s="9">
        <v>0.461862742900848</v>
      </c>
      <c r="L688" s="9" t="e">
        <f>IF(OR(OIT!#REF!="",OIT!#REF!=""),"",OIT!#REF!-OIT!#REF!)</f>
        <v>#REF!</v>
      </c>
      <c r="M688" s="9" t="e">
        <f>IF(OR(OIT!#REF!="",OIT!#REF!=""),"",OIT!#REF!-OIT!#REF!)</f>
        <v>#REF!</v>
      </c>
      <c r="N688" s="9" t="e">
        <f>IF(OR(OIT!#REF!="",OIT!#REF!=""),"",OIT!#REF!-OIT!#REF!)</f>
        <v>#REF!</v>
      </c>
      <c r="O688" s="9">
        <f t="shared" si="40"/>
        <v>13050.561590194708</v>
      </c>
      <c r="P688" s="9">
        <f t="shared" si="41"/>
        <v>1627.5230919963506</v>
      </c>
      <c r="Q688" s="9">
        <f t="shared" si="42"/>
        <v>0.87126503854194359</v>
      </c>
      <c r="R688" s="9">
        <f t="shared" si="43"/>
        <v>13177.041228187816</v>
      </c>
    </row>
    <row r="689" spans="1:18" ht="15.5">
      <c r="A689" s="7" t="s">
        <v>38</v>
      </c>
      <c r="B689" s="7" t="s">
        <v>39</v>
      </c>
      <c r="C689" s="8">
        <v>1993</v>
      </c>
      <c r="D689" s="9">
        <v>21.254519999999999</v>
      </c>
      <c r="E689" s="9">
        <v>7.1026859283447301</v>
      </c>
      <c r="F689" s="9">
        <v>1888.88</v>
      </c>
      <c r="G689" s="9">
        <v>1.9173514842987101</v>
      </c>
      <c r="H689" s="9">
        <v>11401.841796875</v>
      </c>
      <c r="I689" s="9">
        <v>94855.6484375</v>
      </c>
      <c r="J689" s="9">
        <v>3.7768762111663801</v>
      </c>
      <c r="K689" s="9">
        <v>0.45771074295043901</v>
      </c>
      <c r="L689" s="9" t="e">
        <f>IF(OR(OIT!#REF!="",OIT!#REF!=""),"",OIT!#REF!-OIT!#REF!)</f>
        <v>#REF!</v>
      </c>
      <c r="M689" s="9" t="e">
        <f>IF(OR(OIT!#REF!="",OIT!#REF!=""),"",OIT!#REF!-OIT!#REF!)</f>
        <v>#REF!</v>
      </c>
      <c r="N689" s="9" t="e">
        <f>IF(OR(OIT!#REF!="",OIT!#REF!=""),"",OIT!#REF!-OIT!#REF!)</f>
        <v>#REF!</v>
      </c>
      <c r="O689" s="9">
        <f t="shared" si="40"/>
        <v>13416.121396331795</v>
      </c>
      <c r="P689" s="9">
        <f t="shared" si="41"/>
        <v>1605.2859315338164</v>
      </c>
      <c r="Q689" s="9">
        <f t="shared" si="42"/>
        <v>0.84986125721793671</v>
      </c>
      <c r="R689" s="9">
        <f t="shared" si="43"/>
        <v>13354.898329230497</v>
      </c>
    </row>
    <row r="690" spans="1:18" ht="15.5">
      <c r="A690" s="7" t="s">
        <v>38</v>
      </c>
      <c r="B690" s="7" t="s">
        <v>39</v>
      </c>
      <c r="C690" s="8">
        <v>1994</v>
      </c>
      <c r="D690" s="9">
        <v>21.725187999999999</v>
      </c>
      <c r="E690" s="9">
        <v>7.2658615112304696</v>
      </c>
      <c r="F690" s="9">
        <v>1910</v>
      </c>
      <c r="G690" s="9">
        <v>1.95297408103943</v>
      </c>
      <c r="H690" s="9">
        <v>11133.8017578125</v>
      </c>
      <c r="I690" s="9">
        <v>96434.8125</v>
      </c>
      <c r="J690" s="9">
        <v>3.5798428058624299</v>
      </c>
      <c r="K690" s="9">
        <v>0.43467921018600503</v>
      </c>
      <c r="L690" s="9" t="e">
        <f>IF(OR(OIT!#REF!="",OIT!#REF!=""),"",OIT!#REF!-OIT!#REF!)</f>
        <v>#REF!</v>
      </c>
      <c r="M690" s="9" t="e">
        <f>IF(OR(OIT!#REF!="",OIT!#REF!=""),"",OIT!#REF!-OIT!#REF!)</f>
        <v>#REF!</v>
      </c>
      <c r="N690" s="9" t="e">
        <f>IF(OR(OIT!#REF!="",OIT!#REF!=""),"",OIT!#REF!-OIT!#REF!)</f>
        <v>#REF!</v>
      </c>
      <c r="O690" s="9">
        <f t="shared" si="40"/>
        <v>13877.795486450197</v>
      </c>
      <c r="P690" s="9">
        <f t="shared" si="41"/>
        <v>1532.3443394294748</v>
      </c>
      <c r="Q690" s="9">
        <f t="shared" si="42"/>
        <v>0.80227452326150517</v>
      </c>
      <c r="R690" s="9">
        <f t="shared" si="43"/>
        <v>13272.316345549067</v>
      </c>
    </row>
    <row r="691" spans="1:18" ht="15.5">
      <c r="A691" s="7" t="s">
        <v>38</v>
      </c>
      <c r="B691" s="7" t="s">
        <v>39</v>
      </c>
      <c r="C691" s="8">
        <v>1995</v>
      </c>
      <c r="D691" s="9">
        <v>22.193821</v>
      </c>
      <c r="E691" s="9">
        <v>7.66699266433716</v>
      </c>
      <c r="F691" s="9">
        <v>1915.23</v>
      </c>
      <c r="G691" s="9">
        <v>1.98925864696503</v>
      </c>
      <c r="H691" s="9">
        <v>11573.798828125</v>
      </c>
      <c r="I691" s="9">
        <v>98079.515625</v>
      </c>
      <c r="J691" s="9">
        <v>3.5712482929229701</v>
      </c>
      <c r="K691" s="9">
        <v>0.44085040688514698</v>
      </c>
      <c r="L691" s="9" t="e">
        <f>IF(OR(OIT!#REF!="",OIT!#REF!=""),"",OIT!#REF!-OIT!#REF!)</f>
        <v>#REF!</v>
      </c>
      <c r="M691" s="9" t="e">
        <f>IF(OR(OIT!#REF!="",OIT!#REF!=""),"",OIT!#REF!-OIT!#REF!)</f>
        <v>#REF!</v>
      </c>
      <c r="N691" s="9" t="e">
        <f>IF(OR(OIT!#REF!="",OIT!#REF!=""),"",OIT!#REF!-OIT!#REF!)</f>
        <v>#REF!</v>
      </c>
      <c r="O691" s="9">
        <f t="shared" si="40"/>
        <v>14684.054360518459</v>
      </c>
      <c r="P691" s="9">
        <f t="shared" si="41"/>
        <v>1509.5617453712014</v>
      </c>
      <c r="Q691" s="9">
        <f t="shared" si="42"/>
        <v>0.78818823085018574</v>
      </c>
      <c r="R691" s="9">
        <f t="shared" si="43"/>
        <v>12792.436346158855</v>
      </c>
    </row>
    <row r="692" spans="1:18" ht="15.5">
      <c r="A692" s="7" t="s">
        <v>38</v>
      </c>
      <c r="B692" s="7" t="s">
        <v>39</v>
      </c>
      <c r="C692" s="8">
        <v>1996</v>
      </c>
      <c r="D692" s="9">
        <v>22.662113000000002</v>
      </c>
      <c r="E692" s="9">
        <v>7.8191480636596697</v>
      </c>
      <c r="F692" s="9">
        <v>1920.47</v>
      </c>
      <c r="G692" s="9">
        <v>2.02065086364746</v>
      </c>
      <c r="H692" s="9">
        <v>11550.94921875</v>
      </c>
      <c r="I692" s="9">
        <v>99410.03125</v>
      </c>
      <c r="J692" s="9">
        <v>3.4939241409301798</v>
      </c>
      <c r="K692" s="9">
        <v>0.37512719631195102</v>
      </c>
      <c r="L692" s="9" t="e">
        <f>IF(OR(OIT!#REF!="",OIT!#REF!=""),"",OIT!#REF!-OIT!#REF!)</f>
        <v>#REF!</v>
      </c>
      <c r="M692" s="9" t="e">
        <f>IF(OR(OIT!#REF!="",OIT!#REF!=""),"",OIT!#REF!-OIT!#REF!)</f>
        <v>#REF!</v>
      </c>
      <c r="N692" s="9" t="e">
        <f>IF(OR(OIT!#REF!="",OIT!#REF!=""),"",OIT!#REF!-OIT!#REF!)</f>
        <v>#REF!</v>
      </c>
      <c r="O692" s="9">
        <f t="shared" si="40"/>
        <v>15016.439281816487</v>
      </c>
      <c r="P692" s="9">
        <f t="shared" si="41"/>
        <v>1477.264418669123</v>
      </c>
      <c r="Q692" s="9">
        <f t="shared" si="42"/>
        <v>0.76922025268248018</v>
      </c>
      <c r="R692" s="9">
        <f t="shared" si="43"/>
        <v>12713.665279216133</v>
      </c>
    </row>
    <row r="693" spans="1:18" ht="15.5">
      <c r="A693" s="7" t="s">
        <v>38</v>
      </c>
      <c r="B693" s="7" t="s">
        <v>39</v>
      </c>
      <c r="C693" s="8">
        <v>1997</v>
      </c>
      <c r="D693" s="9">
        <v>23.131685000000001</v>
      </c>
      <c r="E693" s="9">
        <v>8.2868022918701207</v>
      </c>
      <c r="F693" s="9">
        <v>1925.73</v>
      </c>
      <c r="G693" s="9">
        <v>2.0525386333465598</v>
      </c>
      <c r="H693" s="9">
        <v>12286.8154296875</v>
      </c>
      <c r="I693" s="9">
        <v>101952.8359375</v>
      </c>
      <c r="J693" s="9">
        <v>3.5399396419525102</v>
      </c>
      <c r="K693" s="9">
        <v>0.42262214422226002</v>
      </c>
      <c r="L693" s="9" t="e">
        <f>IF(OR(OIT!#REF!="",OIT!#REF!=""),"",OIT!#REF!-OIT!#REF!)</f>
        <v>#REF!</v>
      </c>
      <c r="M693" s="9" t="e">
        <f>IF(OR(OIT!#REF!="",OIT!#REF!=""),"",OIT!#REF!-OIT!#REF!)</f>
        <v>#REF!</v>
      </c>
      <c r="N693" s="9" t="e">
        <f>IF(OR(OIT!#REF!="",OIT!#REF!=""),"",OIT!#REF!-OIT!#REF!)</f>
        <v>#REF!</v>
      </c>
      <c r="O693" s="9">
        <f t="shared" si="40"/>
        <v>15958.143777523048</v>
      </c>
      <c r="P693" s="9">
        <f t="shared" si="41"/>
        <v>1482.6968228434321</v>
      </c>
      <c r="Q693" s="9">
        <f t="shared" si="42"/>
        <v>0.76994013846356035</v>
      </c>
      <c r="R693" s="9">
        <f t="shared" si="43"/>
        <v>12303.037087963618</v>
      </c>
    </row>
    <row r="694" spans="1:18" ht="15.5">
      <c r="A694" s="7" t="s">
        <v>38</v>
      </c>
      <c r="B694" s="7" t="s">
        <v>39</v>
      </c>
      <c r="C694" s="8">
        <v>1998</v>
      </c>
      <c r="D694" s="9">
        <v>23.601337000000001</v>
      </c>
      <c r="E694" s="9">
        <v>8.7106666564941406</v>
      </c>
      <c r="F694" s="9">
        <v>1931</v>
      </c>
      <c r="G694" s="9">
        <v>2.0849292278289799</v>
      </c>
      <c r="H694" s="9">
        <v>12323.1416015625</v>
      </c>
      <c r="I694" s="9">
        <v>104612.109375</v>
      </c>
      <c r="J694" s="9">
        <v>3.3789739608764702</v>
      </c>
      <c r="K694" s="9">
        <v>0.47456437349319502</v>
      </c>
      <c r="L694" s="9" t="e">
        <f>IF(OR(OIT!#REF!="",OIT!#REF!=""),"",OIT!#REF!-OIT!#REF!)</f>
        <v>#REF!</v>
      </c>
      <c r="M694" s="9" t="e">
        <f>IF(OR(OIT!#REF!="",OIT!#REF!=""),"",OIT!#REF!-OIT!#REF!)</f>
        <v>#REF!</v>
      </c>
      <c r="N694" s="9" t="e">
        <f>IF(OR(OIT!#REF!="",OIT!#REF!=""),"",OIT!#REF!-OIT!#REF!)</f>
        <v>#REF!</v>
      </c>
      <c r="O694" s="9">
        <f t="shared" si="40"/>
        <v>16820.297313690186</v>
      </c>
      <c r="P694" s="9">
        <f t="shared" si="41"/>
        <v>1414.7185384915538</v>
      </c>
      <c r="Q694" s="9">
        <f t="shared" si="42"/>
        <v>0.73263518306139497</v>
      </c>
      <c r="R694" s="9">
        <f t="shared" si="43"/>
        <v>12009.655919619838</v>
      </c>
    </row>
    <row r="695" spans="1:18" ht="15.5">
      <c r="A695" s="7" t="s">
        <v>38</v>
      </c>
      <c r="B695" s="7" t="s">
        <v>39</v>
      </c>
      <c r="C695" s="8">
        <v>1999</v>
      </c>
      <c r="D695" s="9">
        <v>24.066593000000001</v>
      </c>
      <c r="E695" s="9">
        <v>8.7261667251586896</v>
      </c>
      <c r="F695" s="9">
        <v>1886.9</v>
      </c>
      <c r="G695" s="9">
        <v>2.1178314685821502</v>
      </c>
      <c r="H695" s="9">
        <v>11587.2734375</v>
      </c>
      <c r="I695" s="9">
        <v>106110.6796875</v>
      </c>
      <c r="J695" s="9">
        <v>3.1585485935211199</v>
      </c>
      <c r="K695" s="9">
        <v>0.46230447292327898</v>
      </c>
      <c r="L695" s="9" t="e">
        <f>IF(OR(OIT!#REF!="",OIT!#REF!=""),"",OIT!#REF!-OIT!#REF!)</f>
        <v>#REF!</v>
      </c>
      <c r="M695" s="9" t="e">
        <f>IF(OR(OIT!#REF!="",OIT!#REF!=""),"",OIT!#REF!-OIT!#REF!)</f>
        <v>#REF!</v>
      </c>
      <c r="N695" s="9" t="e">
        <f>IF(OR(OIT!#REF!="",OIT!#REF!=""),"",OIT!#REF!-OIT!#REF!)</f>
        <v>#REF!</v>
      </c>
      <c r="O695" s="9">
        <f t="shared" si="40"/>
        <v>16465.403993701933</v>
      </c>
      <c r="P695" s="9">
        <f t="shared" si="41"/>
        <v>1327.8766957422854</v>
      </c>
      <c r="Q695" s="9">
        <f t="shared" si="42"/>
        <v>0.70373453587486634</v>
      </c>
      <c r="R695" s="9">
        <f t="shared" si="43"/>
        <v>12160.056417621372</v>
      </c>
    </row>
    <row r="696" spans="1:18" ht="15.5">
      <c r="A696" s="7" t="s">
        <v>38</v>
      </c>
      <c r="B696" s="7" t="s">
        <v>39</v>
      </c>
      <c r="C696" s="8">
        <v>2000</v>
      </c>
      <c r="D696" s="9">
        <v>24.526707999999999</v>
      </c>
      <c r="E696" s="9">
        <v>8.8352499008178693</v>
      </c>
      <c r="F696" s="9">
        <v>1898.51</v>
      </c>
      <c r="G696" s="9">
        <v>2.1512525081634499</v>
      </c>
      <c r="H696" s="9">
        <v>12014.3818359375</v>
      </c>
      <c r="I696" s="9">
        <v>107653.25</v>
      </c>
      <c r="J696" s="9">
        <v>3.1943132877349898</v>
      </c>
      <c r="K696" s="9">
        <v>0.41051980853080799</v>
      </c>
      <c r="L696" s="9" t="e">
        <f>IF(OR(OIT!#REF!="",OIT!#REF!=""),"",OIT!#REF!-OIT!#REF!)</f>
        <v>#REF!</v>
      </c>
      <c r="M696" s="9" t="e">
        <f>IF(OR(OIT!#REF!="",OIT!#REF!=""),"",OIT!#REF!-OIT!#REF!)</f>
        <v>#REF!</v>
      </c>
      <c r="N696" s="9" t="e">
        <f>IF(OR(OIT!#REF!="",OIT!#REF!=""),"",OIT!#REF!-OIT!#REF!)</f>
        <v>#REF!</v>
      </c>
      <c r="O696" s="9">
        <f t="shared" si="40"/>
        <v>16773.810289201734</v>
      </c>
      <c r="P696" s="9">
        <f t="shared" si="41"/>
        <v>1359.8236575996953</v>
      </c>
      <c r="Q696" s="9">
        <f t="shared" si="42"/>
        <v>0.71625835923945369</v>
      </c>
      <c r="R696" s="9">
        <f t="shared" si="43"/>
        <v>12184.516703940049</v>
      </c>
    </row>
    <row r="697" spans="1:18" ht="15.5">
      <c r="A697" s="7" t="s">
        <v>38</v>
      </c>
      <c r="B697" s="7" t="s">
        <v>39</v>
      </c>
      <c r="C697" s="8">
        <v>2001</v>
      </c>
      <c r="D697" s="9">
        <v>24.979921999999998</v>
      </c>
      <c r="E697" s="9">
        <v>9.4026670455932599</v>
      </c>
      <c r="F697" s="9">
        <v>1869.47</v>
      </c>
      <c r="G697" s="9">
        <v>2.1893362998962398</v>
      </c>
      <c r="H697" s="9">
        <v>12422.1552734375</v>
      </c>
      <c r="I697" s="9">
        <v>109815.6796875</v>
      </c>
      <c r="J697" s="9">
        <v>3.1669619083404501</v>
      </c>
      <c r="K697" s="9">
        <v>0.44543829560279802</v>
      </c>
      <c r="L697" s="9" t="e">
        <f>IF(OR(OIT!#REF!="",OIT!#REF!=""),"",OIT!#REF!-OIT!#REF!)</f>
        <v>#REF!</v>
      </c>
      <c r="M697" s="9" t="e">
        <f>IF(OR(OIT!#REF!="",OIT!#REF!=""),"",OIT!#REF!-OIT!#REF!)</f>
        <v>#REF!</v>
      </c>
      <c r="N697" s="9" t="e">
        <f>IF(OR(OIT!#REF!="",OIT!#REF!=""),"",OIT!#REF!-OIT!#REF!)</f>
        <v>#REF!</v>
      </c>
      <c r="O697" s="9">
        <f t="shared" si="40"/>
        <v>17578.003961725233</v>
      </c>
      <c r="P697" s="9">
        <f t="shared" si="41"/>
        <v>1321.1310379494275</v>
      </c>
      <c r="Q697" s="9">
        <f t="shared" si="42"/>
        <v>0.70668747717236824</v>
      </c>
      <c r="R697" s="9">
        <f t="shared" si="43"/>
        <v>11679.205395129589</v>
      </c>
    </row>
    <row r="698" spans="1:18" ht="15.5">
      <c r="A698" s="7" t="s">
        <v>38</v>
      </c>
      <c r="B698" s="7" t="s">
        <v>39</v>
      </c>
      <c r="C698" s="8">
        <v>2002</v>
      </c>
      <c r="D698" s="9">
        <v>25.435670999999999</v>
      </c>
      <c r="E698" s="9">
        <v>9.7861757278442401</v>
      </c>
      <c r="F698" s="9">
        <v>1829.02</v>
      </c>
      <c r="G698" s="9">
        <v>2.2280945777893102</v>
      </c>
      <c r="H698" s="9">
        <v>11322.162109375</v>
      </c>
      <c r="I698" s="9">
        <v>110842.359375</v>
      </c>
      <c r="J698" s="9">
        <v>2.83103346824646</v>
      </c>
      <c r="K698" s="9">
        <v>0.41363629698753401</v>
      </c>
      <c r="L698" s="9" t="e">
        <f>IF(OR(OIT!#REF!="",OIT!#REF!=""),"",OIT!#REF!-OIT!#REF!)</f>
        <v>#REF!</v>
      </c>
      <c r="M698" s="9" t="e">
        <f>IF(OR(OIT!#REF!="",OIT!#REF!=""),"",OIT!#REF!-OIT!#REF!)</f>
        <v>#REF!</v>
      </c>
      <c r="N698" s="9" t="e">
        <f>IF(OR(OIT!#REF!="",OIT!#REF!=""),"",OIT!#REF!-OIT!#REF!)</f>
        <v>#REF!</v>
      </c>
      <c r="O698" s="9">
        <f t="shared" si="40"/>
        <v>17899.111129741672</v>
      </c>
      <c r="P698" s="9">
        <f t="shared" si="41"/>
        <v>1156.9547108336176</v>
      </c>
      <c r="Q698" s="9">
        <f t="shared" si="42"/>
        <v>0.63255443397754951</v>
      </c>
      <c r="R698" s="9">
        <f t="shared" si="43"/>
        <v>11326.422338771659</v>
      </c>
    </row>
    <row r="699" spans="1:18" ht="15.5">
      <c r="A699" s="7" t="s">
        <v>38</v>
      </c>
      <c r="B699" s="7" t="s">
        <v>39</v>
      </c>
      <c r="C699" s="8">
        <v>2003</v>
      </c>
      <c r="D699" s="9">
        <v>25.892703000000001</v>
      </c>
      <c r="E699" s="9">
        <v>9.9938058853149396</v>
      </c>
      <c r="F699" s="9">
        <v>1801.21</v>
      </c>
      <c r="G699" s="9">
        <v>2.26753854751587</v>
      </c>
      <c r="H699" s="9">
        <v>10444.21875</v>
      </c>
      <c r="I699" s="9">
        <v>110089.484375</v>
      </c>
      <c r="J699" s="9">
        <v>2.6079165935516402</v>
      </c>
      <c r="K699" s="9">
        <v>0.37694382667541498</v>
      </c>
      <c r="L699" s="9" t="e">
        <f>IF(OR(OIT!#REF!="",OIT!#REF!=""),"",OIT!#REF!-OIT!#REF!)</f>
        <v>#REF!</v>
      </c>
      <c r="M699" s="9" t="e">
        <f>IF(OR(OIT!#REF!="",OIT!#REF!=""),"",OIT!#REF!-OIT!#REF!)</f>
        <v>#REF!</v>
      </c>
      <c r="N699" s="9" t="e">
        <f>IF(OR(OIT!#REF!="",OIT!#REF!=""),"",OIT!#REF!-OIT!#REF!)</f>
        <v>#REF!</v>
      </c>
      <c r="O699" s="9">
        <f t="shared" si="40"/>
        <v>18000.943098688123</v>
      </c>
      <c r="P699" s="9">
        <f t="shared" si="41"/>
        <v>1045.0692028496276</v>
      </c>
      <c r="Q699" s="9">
        <f t="shared" si="42"/>
        <v>0.58020397557732162</v>
      </c>
      <c r="R699" s="9">
        <f t="shared" si="43"/>
        <v>11015.771732845769</v>
      </c>
    </row>
    <row r="700" spans="1:18" ht="15.5">
      <c r="A700" s="7" t="s">
        <v>38</v>
      </c>
      <c r="B700" s="7" t="s">
        <v>39</v>
      </c>
      <c r="C700" s="8">
        <v>2004</v>
      </c>
      <c r="D700" s="9">
        <v>26.340838000000002</v>
      </c>
      <c r="E700" s="9">
        <v>10.2486667633057</v>
      </c>
      <c r="F700" s="9">
        <v>1896.69</v>
      </c>
      <c r="G700" s="9">
        <v>2.3076810836792001</v>
      </c>
      <c r="H700" s="9">
        <v>12353.900390625</v>
      </c>
      <c r="I700" s="9">
        <v>110899.3515625</v>
      </c>
      <c r="J700" s="9">
        <v>2.9583625793457</v>
      </c>
      <c r="K700" s="9">
        <v>0.376855939626694</v>
      </c>
      <c r="L700" s="9" t="e">
        <f>IF(OR(OIT!#REF!="",OIT!#REF!=""),"",OIT!#REF!-OIT!#REF!)</f>
        <v>#REF!</v>
      </c>
      <c r="M700" s="9" t="e">
        <f>IF(OR(OIT!#REF!="",OIT!#REF!=""),"",OIT!#REF!-OIT!#REF!)</f>
        <v>#REF!</v>
      </c>
      <c r="N700" s="9" t="e">
        <f>IF(OR(OIT!#REF!="",OIT!#REF!=""),"",OIT!#REF!-OIT!#REF!)</f>
        <v>#REF!</v>
      </c>
      <c r="O700" s="9">
        <f t="shared" si="40"/>
        <v>19438.543763294289</v>
      </c>
      <c r="P700" s="9">
        <f t="shared" si="41"/>
        <v>1205.4153653289688</v>
      </c>
      <c r="Q700" s="9">
        <f t="shared" si="42"/>
        <v>0.63553631079879613</v>
      </c>
      <c r="R700" s="9">
        <f t="shared" si="43"/>
        <v>10820.856421984932</v>
      </c>
    </row>
    <row r="701" spans="1:18" ht="15.5">
      <c r="A701" s="7" t="s">
        <v>38</v>
      </c>
      <c r="B701" s="7" t="s">
        <v>39</v>
      </c>
      <c r="C701" s="8">
        <v>2005</v>
      </c>
      <c r="D701" s="9">
        <v>26.785803999999999</v>
      </c>
      <c r="E701" s="9">
        <v>10.404711723327599</v>
      </c>
      <c r="F701" s="9">
        <v>1922.85</v>
      </c>
      <c r="G701" s="9">
        <v>2.3485343456268302</v>
      </c>
      <c r="H701" s="9">
        <v>13628.7783203125</v>
      </c>
      <c r="I701" s="9">
        <v>113307.84375</v>
      </c>
      <c r="J701" s="9">
        <v>3.1487352848053001</v>
      </c>
      <c r="K701" s="9">
        <v>0.35457757115364102</v>
      </c>
      <c r="L701" s="9" t="e">
        <f>IF(OR(OIT!#REF!="",OIT!#REF!=""),"",OIT!#REF!-OIT!#REF!)</f>
        <v>#REF!</v>
      </c>
      <c r="M701" s="9" t="e">
        <f>IF(OR(OIT!#REF!="",OIT!#REF!=""),"",OIT!#REF!-OIT!#REF!)</f>
        <v>#REF!</v>
      </c>
      <c r="N701" s="9" t="e">
        <f>IF(OR(OIT!#REF!="",OIT!#REF!=""),"",OIT!#REF!-OIT!#REF!)</f>
        <v>#REF!</v>
      </c>
      <c r="O701" s="9">
        <f t="shared" si="40"/>
        <v>20006.699937200472</v>
      </c>
      <c r="P701" s="9">
        <f t="shared" si="41"/>
        <v>1309.8660186573425</v>
      </c>
      <c r="Q701" s="9">
        <f t="shared" si="42"/>
        <v>0.68121071256590093</v>
      </c>
      <c r="R701" s="9">
        <f t="shared" si="43"/>
        <v>10890.051234765231</v>
      </c>
    </row>
    <row r="702" spans="1:18" ht="15.5">
      <c r="A702" s="7" t="s">
        <v>38</v>
      </c>
      <c r="B702" s="7" t="s">
        <v>39</v>
      </c>
      <c r="C702" s="8">
        <v>2006</v>
      </c>
      <c r="D702" s="9">
        <v>27.224685999999998</v>
      </c>
      <c r="E702" s="9">
        <v>11.016665458679199</v>
      </c>
      <c r="F702" s="9">
        <v>1903.85</v>
      </c>
      <c r="G702" s="9">
        <v>2.39718818664551</v>
      </c>
      <c r="H702" s="9">
        <v>14974.2548828125</v>
      </c>
      <c r="I702" s="9">
        <v>117187.1015625</v>
      </c>
      <c r="J702" s="9">
        <v>3.28111028671265</v>
      </c>
      <c r="K702" s="9">
        <v>0.378637135028839</v>
      </c>
      <c r="L702" s="9" t="e">
        <f>IF(OR(OIT!#REF!="",OIT!#REF!=""),"",OIT!#REF!-OIT!#REF!)</f>
        <v>#REF!</v>
      </c>
      <c r="M702" s="9" t="e">
        <f>IF(OR(OIT!#REF!="",OIT!#REF!=""),"",OIT!#REF!-OIT!#REF!)</f>
        <v>#REF!</v>
      </c>
      <c r="N702" s="9" t="e">
        <f>IF(OR(OIT!#REF!="",OIT!#REF!=""),"",OIT!#REF!-OIT!#REF!)</f>
        <v>#REF!</v>
      </c>
      <c r="O702" s="9">
        <f t="shared" si="40"/>
        <v>20974.078533506392</v>
      </c>
      <c r="P702" s="9">
        <f t="shared" si="41"/>
        <v>1359.2365983134594</v>
      </c>
      <c r="Q702" s="9">
        <f t="shared" si="42"/>
        <v>0.71394101337471927</v>
      </c>
      <c r="R702" s="9">
        <f t="shared" si="43"/>
        <v>10637.256981437802</v>
      </c>
    </row>
    <row r="703" spans="1:18" ht="15.5">
      <c r="A703" s="7" t="s">
        <v>38</v>
      </c>
      <c r="B703" s="7" t="s">
        <v>39</v>
      </c>
      <c r="C703" s="8">
        <v>2007</v>
      </c>
      <c r="D703" s="9">
        <v>27.649363000000001</v>
      </c>
      <c r="E703" s="9">
        <v>11.3500318527222</v>
      </c>
      <c r="F703" s="9">
        <v>1877.74</v>
      </c>
      <c r="G703" s="9">
        <v>2.44685029983521</v>
      </c>
      <c r="H703" s="9">
        <v>16284.873046875</v>
      </c>
      <c r="I703" s="9">
        <v>122584.5546875</v>
      </c>
      <c r="J703" s="9">
        <v>3.3910114765167201</v>
      </c>
      <c r="K703" s="9">
        <v>0.40235155820846602</v>
      </c>
      <c r="L703" s="9" t="e">
        <f>IF(OR(OIT!#REF!="",OIT!#REF!=""),"",OIT!#REF!-OIT!#REF!)</f>
        <v>#REF!</v>
      </c>
      <c r="M703" s="9" t="e">
        <f>IF(OR(OIT!#REF!="",OIT!#REF!=""),"",OIT!#REF!-OIT!#REF!)</f>
        <v>#REF!</v>
      </c>
      <c r="N703" s="9" t="e">
        <f>IF(OR(OIT!#REF!="",OIT!#REF!=""),"",OIT!#REF!-OIT!#REF!)</f>
        <v>#REF!</v>
      </c>
      <c r="O703" s="9">
        <f t="shared" si="40"/>
        <v>21312.408811130583</v>
      </c>
      <c r="P703" s="9">
        <f t="shared" si="41"/>
        <v>1434.7865502218149</v>
      </c>
      <c r="Q703" s="9">
        <f t="shared" si="42"/>
        <v>0.76410288443651142</v>
      </c>
      <c r="R703" s="9">
        <f t="shared" si="43"/>
        <v>10800.370983813515</v>
      </c>
    </row>
    <row r="704" spans="1:18" ht="15.5">
      <c r="A704" s="7" t="s">
        <v>38</v>
      </c>
      <c r="B704" s="7" t="s">
        <v>39</v>
      </c>
      <c r="C704" s="8">
        <v>2008</v>
      </c>
      <c r="D704" s="9">
        <v>28.053695999999999</v>
      </c>
      <c r="E704" s="9">
        <v>11.7049312591553</v>
      </c>
      <c r="F704" s="9">
        <v>1869.22</v>
      </c>
      <c r="G704" s="9">
        <v>2.49754095077515</v>
      </c>
      <c r="H704" s="9">
        <v>17144.361328125</v>
      </c>
      <c r="I704" s="9">
        <v>127681.125</v>
      </c>
      <c r="J704" s="9">
        <v>3.4003129005432098</v>
      </c>
      <c r="K704" s="9">
        <v>0.36989071965217601</v>
      </c>
      <c r="L704" s="9" t="e">
        <f>IF(OR(OIT!#REF!="",OIT!#REF!=""),"",OIT!#REF!-OIT!#REF!)</f>
        <v>#REF!</v>
      </c>
      <c r="M704" s="9" t="e">
        <f>IF(OR(OIT!#REF!="",OIT!#REF!=""),"",OIT!#REF!-OIT!#REF!)</f>
        <v>#REF!</v>
      </c>
      <c r="N704" s="9" t="e">
        <f>IF(OR(OIT!#REF!="",OIT!#REF!=""),"",OIT!#REF!-OIT!#REF!)</f>
        <v>#REF!</v>
      </c>
      <c r="O704" s="9">
        <f t="shared" si="40"/>
        <v>21879.091608238272</v>
      </c>
      <c r="P704" s="9">
        <f t="shared" si="41"/>
        <v>1464.7126880574472</v>
      </c>
      <c r="Q704" s="9">
        <f t="shared" si="42"/>
        <v>0.78359566453250395</v>
      </c>
      <c r="R704" s="9">
        <f t="shared" si="43"/>
        <v>10908.319081338565</v>
      </c>
    </row>
    <row r="705" spans="1:18" ht="15.5">
      <c r="A705" s="7" t="s">
        <v>38</v>
      </c>
      <c r="B705" s="7" t="s">
        <v>39</v>
      </c>
      <c r="C705" s="8">
        <v>2009</v>
      </c>
      <c r="D705" s="9">
        <v>28.438298</v>
      </c>
      <c r="E705" s="9">
        <v>11.927426338195801</v>
      </c>
      <c r="F705" s="9">
        <v>1862.41</v>
      </c>
      <c r="G705" s="9">
        <v>2.5492818355560298</v>
      </c>
      <c r="H705" s="9">
        <v>16595.390625</v>
      </c>
      <c r="I705" s="9">
        <v>131630.015625</v>
      </c>
      <c r="J705" s="9">
        <v>3.1803567409515399</v>
      </c>
      <c r="K705" s="9">
        <v>0.44280353188514698</v>
      </c>
      <c r="L705" s="9" t="e">
        <f>IF(OR(OIT!#REF!="",OIT!#REF!=""),"",OIT!#REF!-OIT!#REF!)</f>
        <v>#REF!</v>
      </c>
      <c r="M705" s="9" t="e">
        <f>IF(OR(OIT!#REF!="",OIT!#REF!=""),"",OIT!#REF!-OIT!#REF!)</f>
        <v>#REF!</v>
      </c>
      <c r="N705" s="9" t="e">
        <f>IF(OR(OIT!#REF!="",OIT!#REF!=""),"",OIT!#REF!-OIT!#REF!)</f>
        <v>#REF!</v>
      </c>
      <c r="O705" s="9">
        <f t="shared" si="40"/>
        <v>22213.758086519243</v>
      </c>
      <c r="P705" s="9">
        <f t="shared" si="41"/>
        <v>1391.3639166108903</v>
      </c>
      <c r="Q705" s="9">
        <f t="shared" si="42"/>
        <v>0.7470771294241817</v>
      </c>
      <c r="R705" s="9">
        <f t="shared" si="43"/>
        <v>11035.911008184099</v>
      </c>
    </row>
    <row r="706" spans="1:18" ht="15.5">
      <c r="A706" s="7" t="s">
        <v>38</v>
      </c>
      <c r="B706" s="7" t="s">
        <v>39</v>
      </c>
      <c r="C706" s="8">
        <v>2010</v>
      </c>
      <c r="D706" s="9">
        <v>28.813101</v>
      </c>
      <c r="E706" s="9">
        <v>12.009840011596699</v>
      </c>
      <c r="F706" s="9">
        <v>1885.13</v>
      </c>
      <c r="G706" s="9">
        <v>2.5882592201232901</v>
      </c>
      <c r="H706" s="9">
        <v>16348.44140625</v>
      </c>
      <c r="I706" s="9">
        <v>134803.765625</v>
      </c>
      <c r="J706" s="9">
        <v>3.0433924198150599</v>
      </c>
      <c r="K706" s="9">
        <v>0.36833253502845797</v>
      </c>
      <c r="L706" s="9" t="e">
        <f>IF(OR(OIT!#REF!="",OIT!#REF!=""),"",OIT!#REF!-OIT!#REF!)</f>
        <v>#REF!</v>
      </c>
      <c r="M706" s="9" t="e">
        <f>IF(OR(OIT!#REF!="",OIT!#REF!=""),"",OIT!#REF!-OIT!#REF!)</f>
        <v>#REF!</v>
      </c>
      <c r="N706" s="9" t="e">
        <f>IF(OR(OIT!#REF!="",OIT!#REF!=""),"",OIT!#REF!-OIT!#REF!)</f>
        <v>#REF!</v>
      </c>
      <c r="O706" s="9">
        <f t="shared" ref="O706:O721" si="44">IFERROR(E706*F706,"")</f>
        <v>22640.109701061287</v>
      </c>
      <c r="P706" s="9">
        <f t="shared" ref="P706:P721" si="45">IFERROR(H706/E706,"")</f>
        <v>1361.2538876840947</v>
      </c>
      <c r="Q706" s="9">
        <f t="shared" ref="Q706:Q721" si="46">IFERROR(H706/(E706*F706),"")</f>
        <v>0.72210080349052563</v>
      </c>
      <c r="R706" s="9">
        <f t="shared" ref="R706:R721" si="47">IFERROR(I706/E706,"")</f>
        <v>11224.44308124284</v>
      </c>
    </row>
    <row r="707" spans="1:18" ht="15.5">
      <c r="A707" s="7" t="s">
        <v>38</v>
      </c>
      <c r="B707" s="7" t="s">
        <v>39</v>
      </c>
      <c r="C707" s="8">
        <v>2011</v>
      </c>
      <c r="D707" s="9">
        <v>29.185212</v>
      </c>
      <c r="E707" s="9">
        <v>12.237378120422401</v>
      </c>
      <c r="F707" s="9">
        <v>1862.19</v>
      </c>
      <c r="G707" s="9">
        <v>2.6205151081085201</v>
      </c>
      <c r="H707" s="9">
        <v>17030.9921875</v>
      </c>
      <c r="I707" s="9">
        <v>138204.828125</v>
      </c>
      <c r="J707" s="9">
        <v>3.0978643894195601</v>
      </c>
      <c r="K707" s="9">
        <v>0.36658990383148199</v>
      </c>
      <c r="L707" s="9" t="e">
        <f>IF(OR(OIT!#REF!="",OIT!#REF!=""),"",OIT!#REF!-OIT!#REF!)</f>
        <v>#REF!</v>
      </c>
      <c r="M707" s="9" t="e">
        <f>IF(OR(OIT!#REF!="",OIT!#REF!=""),"",OIT!#REF!-OIT!#REF!)</f>
        <v>#REF!</v>
      </c>
      <c r="N707" s="9" t="e">
        <f>IF(OR(OIT!#REF!="",OIT!#REF!=""),"",OIT!#REF!-OIT!#REF!)</f>
        <v>#REF!</v>
      </c>
      <c r="O707" s="9">
        <f t="shared" si="44"/>
        <v>22788.323162069391</v>
      </c>
      <c r="P707" s="9">
        <f t="shared" si="45"/>
        <v>1391.7190447092385</v>
      </c>
      <c r="Q707" s="9">
        <f t="shared" si="46"/>
        <v>0.74735609401255432</v>
      </c>
      <c r="R707" s="9">
        <f t="shared" si="47"/>
        <v>11293.663296581175</v>
      </c>
    </row>
    <row r="708" spans="1:18" ht="15.5">
      <c r="A708" s="7" t="s">
        <v>38</v>
      </c>
      <c r="B708" s="7" t="s">
        <v>39</v>
      </c>
      <c r="C708" s="8">
        <v>2012</v>
      </c>
      <c r="D708" s="9">
        <v>29.553826000000001</v>
      </c>
      <c r="E708" s="9">
        <v>12.418317794799799</v>
      </c>
      <c r="F708" s="9">
        <v>1850.76</v>
      </c>
      <c r="G708" s="9">
        <v>2.6531729698181201</v>
      </c>
      <c r="H708" s="9">
        <v>17989.201171875</v>
      </c>
      <c r="I708" s="9">
        <v>143497</v>
      </c>
      <c r="J708" s="9">
        <v>3.1692686080932599</v>
      </c>
      <c r="K708" s="9">
        <v>0.40407001972198497</v>
      </c>
      <c r="L708" s="9" t="e">
        <f>IF(OR(OIT!#REF!="",OIT!#REF!=""),"",OIT!#REF!-OIT!#REF!)</f>
        <v>#REF!</v>
      </c>
      <c r="M708" s="9" t="e">
        <f>IF(OR(OIT!#REF!="",OIT!#REF!=""),"",OIT!#REF!-OIT!#REF!)</f>
        <v>#REF!</v>
      </c>
      <c r="N708" s="9" t="e">
        <f>IF(OR(OIT!#REF!="",OIT!#REF!=""),"",OIT!#REF!-OIT!#REF!)</f>
        <v>#REF!</v>
      </c>
      <c r="O708" s="9">
        <f t="shared" si="44"/>
        <v>22983.325841903676</v>
      </c>
      <c r="P708" s="9">
        <f t="shared" si="45"/>
        <v>1448.6020948351008</v>
      </c>
      <c r="Q708" s="9">
        <f t="shared" si="46"/>
        <v>0.78270661503117689</v>
      </c>
      <c r="R708" s="9">
        <f t="shared" si="47"/>
        <v>11555.268786895575</v>
      </c>
    </row>
    <row r="709" spans="1:18" ht="15.5">
      <c r="A709" s="7" t="s">
        <v>38</v>
      </c>
      <c r="B709" s="7" t="s">
        <v>39</v>
      </c>
      <c r="C709" s="8">
        <v>2013</v>
      </c>
      <c r="D709" s="9">
        <v>29.912198</v>
      </c>
      <c r="E709" s="9">
        <v>12.7906246185303</v>
      </c>
      <c r="F709" s="9">
        <v>1840.05</v>
      </c>
      <c r="G709" s="9">
        <v>2.6862375736236599</v>
      </c>
      <c r="H709" s="9">
        <v>18230.87890625</v>
      </c>
      <c r="I709" s="9">
        <v>147743.984375</v>
      </c>
      <c r="J709" s="9">
        <v>3.11236524581909</v>
      </c>
      <c r="K709" s="9">
        <v>0.40241754055023199</v>
      </c>
      <c r="L709" s="9" t="e">
        <f>IF(OR(OIT!#REF!="",OIT!#REF!=""),"",OIT!#REF!-OIT!#REF!)</f>
        <v>#REF!</v>
      </c>
      <c r="M709" s="9" t="e">
        <f>IF(OR(OIT!#REF!="",OIT!#REF!=""),"",OIT!#REF!-OIT!#REF!)</f>
        <v>#REF!</v>
      </c>
      <c r="N709" s="9" t="e">
        <f>IF(OR(OIT!#REF!="",OIT!#REF!=""),"",OIT!#REF!-OIT!#REF!)</f>
        <v>#REF!</v>
      </c>
      <c r="O709" s="9">
        <f t="shared" si="44"/>
        <v>23535.388829326679</v>
      </c>
      <c r="P709" s="9">
        <f t="shared" si="45"/>
        <v>1425.3314009261269</v>
      </c>
      <c r="Q709" s="9">
        <f t="shared" si="46"/>
        <v>0.77461558160165589</v>
      </c>
      <c r="R709" s="9">
        <f t="shared" si="47"/>
        <v>11550.959298809947</v>
      </c>
    </row>
    <row r="710" spans="1:18" ht="15.5">
      <c r="A710" s="7" t="s">
        <v>38</v>
      </c>
      <c r="B710" s="7" t="s">
        <v>39</v>
      </c>
      <c r="C710" s="8">
        <v>2014</v>
      </c>
      <c r="D710" s="9">
        <v>30.254079000000001</v>
      </c>
      <c r="E710" s="9">
        <v>12.8974456787109</v>
      </c>
      <c r="F710" s="9">
        <v>1829.18</v>
      </c>
      <c r="G710" s="9">
        <v>2.7197144031524698</v>
      </c>
      <c r="H710" s="9">
        <v>17520.791015625</v>
      </c>
      <c r="I710" s="9">
        <v>150128.90625</v>
      </c>
      <c r="J710" s="9">
        <v>2.9490783214569101</v>
      </c>
      <c r="K710" s="9">
        <v>0.488181322813034</v>
      </c>
      <c r="L710" s="9" t="e">
        <f>IF(OR(OIT!#REF!="",OIT!#REF!=""),"",OIT!#REF!-OIT!#REF!)</f>
        <v>#REF!</v>
      </c>
      <c r="M710" s="9" t="e">
        <f>IF(OR(OIT!#REF!="",OIT!#REF!=""),"",OIT!#REF!-OIT!#REF!)</f>
        <v>#REF!</v>
      </c>
      <c r="N710" s="9" t="e">
        <f>IF(OR(OIT!#REF!="",OIT!#REF!=""),"",OIT!#REF!-OIT!#REF!)</f>
        <v>#REF!</v>
      </c>
      <c r="O710" s="9">
        <f t="shared" si="44"/>
        <v>23591.749686584404</v>
      </c>
      <c r="P710" s="9">
        <f t="shared" si="45"/>
        <v>1358.4698437261573</v>
      </c>
      <c r="Q710" s="9">
        <f t="shared" si="46"/>
        <v>0.74266602725054798</v>
      </c>
      <c r="R710" s="9">
        <f t="shared" si="47"/>
        <v>11640.204579253199</v>
      </c>
    </row>
    <row r="711" spans="1:18" ht="15.5">
      <c r="A711" s="7" t="s">
        <v>38</v>
      </c>
      <c r="B711" s="7" t="s">
        <v>39</v>
      </c>
      <c r="C711" s="8">
        <v>2015</v>
      </c>
      <c r="D711" s="9">
        <v>30.573972000000001</v>
      </c>
      <c r="E711" s="9">
        <v>12.994031906127899</v>
      </c>
      <c r="F711" s="9">
        <v>1815.32</v>
      </c>
      <c r="G711" s="9">
        <v>2.7536084651946999</v>
      </c>
      <c r="H711" s="9">
        <v>16430.7578125</v>
      </c>
      <c r="I711" s="9">
        <v>150636.296875</v>
      </c>
      <c r="J711" s="9">
        <v>2.7541751861572301</v>
      </c>
      <c r="K711" s="9">
        <v>0.29484540224075301</v>
      </c>
      <c r="L711" s="9" t="e">
        <f>IF(OR(OIT!#REF!="",OIT!#REF!=""),"",OIT!#REF!-OIT!#REF!)</f>
        <v>#REF!</v>
      </c>
      <c r="M711" s="9" t="e">
        <f>IF(OR(OIT!#REF!="",OIT!#REF!=""),"",OIT!#REF!-OIT!#REF!)</f>
        <v>#REF!</v>
      </c>
      <c r="N711" s="9" t="e">
        <f>IF(OR(OIT!#REF!="",OIT!#REF!=""),"",OIT!#REF!-OIT!#REF!)</f>
        <v>#REF!</v>
      </c>
      <c r="O711" s="9">
        <f t="shared" si="44"/>
        <v>23588.325999832097</v>
      </c>
      <c r="P711" s="9">
        <f t="shared" si="45"/>
        <v>1264.4849521072333</v>
      </c>
      <c r="Q711" s="9">
        <f t="shared" si="46"/>
        <v>0.69656311400041504</v>
      </c>
      <c r="R711" s="9">
        <f t="shared" si="47"/>
        <v>11592.729490217807</v>
      </c>
    </row>
    <row r="712" spans="1:18" ht="15.5">
      <c r="A712" s="7" t="s">
        <v>38</v>
      </c>
      <c r="B712" s="7" t="s">
        <v>39</v>
      </c>
      <c r="C712" s="8">
        <v>2016</v>
      </c>
      <c r="D712" s="9">
        <v>30.765720000000002</v>
      </c>
      <c r="E712" s="9">
        <v>13.035490989685099</v>
      </c>
      <c r="F712" s="9">
        <v>1801.84</v>
      </c>
      <c r="G712" s="9">
        <v>2.78792500495911</v>
      </c>
      <c r="H712" s="9">
        <v>13630.8291015625</v>
      </c>
      <c r="I712" s="9">
        <v>148019.796875</v>
      </c>
      <c r="J712" s="9">
        <v>2.3223900794982901</v>
      </c>
      <c r="K712" s="9">
        <v>0.293003350496292</v>
      </c>
      <c r="L712" s="9" t="e">
        <f>IF(OR(OIT!#REF!="",OIT!#REF!=""),"",OIT!#REF!-OIT!#REF!)</f>
        <v>#REF!</v>
      </c>
      <c r="M712" s="9" t="e">
        <f>IF(OR(OIT!#REF!="",OIT!#REF!=""),"",OIT!#REF!-OIT!#REF!)</f>
        <v>#REF!</v>
      </c>
      <c r="N712" s="9" t="e">
        <f>IF(OR(OIT!#REF!="",OIT!#REF!=""),"",OIT!#REF!-OIT!#REF!)</f>
        <v>#REF!</v>
      </c>
      <c r="O712" s="9">
        <f t="shared" si="44"/>
        <v>23487.869084854199</v>
      </c>
      <c r="P712" s="9">
        <f t="shared" si="45"/>
        <v>1045.6705552823817</v>
      </c>
      <c r="Q712" s="9">
        <f t="shared" si="46"/>
        <v>0.58033485508279403</v>
      </c>
      <c r="R712" s="9">
        <f t="shared" si="47"/>
        <v>11355.137830414453</v>
      </c>
    </row>
    <row r="713" spans="1:18" ht="15.5">
      <c r="A713" s="7" t="s">
        <v>38</v>
      </c>
      <c r="B713" s="7" t="s">
        <v>39</v>
      </c>
      <c r="C713" s="8">
        <v>2017</v>
      </c>
      <c r="D713" s="9">
        <v>30.565322999999999</v>
      </c>
      <c r="E713" s="9">
        <v>14.580285072326699</v>
      </c>
      <c r="F713" s="9">
        <v>1792.37</v>
      </c>
      <c r="G713" s="9">
        <v>2.8226692676544198</v>
      </c>
      <c r="H713" s="9">
        <v>11494.7041015625</v>
      </c>
      <c r="I713" s="9">
        <v>143983.71875</v>
      </c>
      <c r="J713" s="9">
        <v>1.96144127845764</v>
      </c>
      <c r="K713" s="9">
        <v>0.234302878379822</v>
      </c>
      <c r="L713" s="9" t="e">
        <f>IF(OR(OIT!#REF!="",OIT!#REF!=""),"",OIT!#REF!-OIT!#REF!)</f>
        <v>#REF!</v>
      </c>
      <c r="M713" s="9" t="e">
        <f>IF(OR(OIT!#REF!="",OIT!#REF!=""),"",OIT!#REF!-OIT!#REF!)</f>
        <v>#REF!</v>
      </c>
      <c r="N713" s="9" t="e">
        <f>IF(OR(OIT!#REF!="",OIT!#REF!=""),"",OIT!#REF!-OIT!#REF!)</f>
        <v>#REF!</v>
      </c>
      <c r="O713" s="9">
        <f t="shared" si="44"/>
        <v>26133.265555086204</v>
      </c>
      <c r="P713" s="9">
        <f t="shared" si="45"/>
        <v>788.3730698365689</v>
      </c>
      <c r="Q713" s="9">
        <f t="shared" si="46"/>
        <v>0.43984951200732492</v>
      </c>
      <c r="R713" s="9">
        <f t="shared" si="47"/>
        <v>9875.2334426766665</v>
      </c>
    </row>
    <row r="714" spans="1:18" ht="15.5">
      <c r="A714" s="7" t="s">
        <v>38</v>
      </c>
      <c r="B714" s="7" t="s">
        <v>39</v>
      </c>
      <c r="C714" s="8">
        <v>2018</v>
      </c>
      <c r="D714" s="9">
        <v>29.807592</v>
      </c>
      <c r="E714" s="9">
        <v>14.881935119628899</v>
      </c>
      <c r="F714" s="9">
        <v>1786.92</v>
      </c>
      <c r="G714" s="9">
        <v>2.8578462600707999</v>
      </c>
      <c r="H714" s="9">
        <v>9239.353515625</v>
      </c>
      <c r="I714" s="9">
        <v>139541.921875</v>
      </c>
      <c r="J714" s="9">
        <v>1.63522517681122</v>
      </c>
      <c r="K714" s="9">
        <v>0.148596912622452</v>
      </c>
      <c r="L714" s="9" t="e">
        <f>IF(OR(OIT!#REF!="",OIT!#REF!=""),"",OIT!#REF!-OIT!#REF!)</f>
        <v>#REF!</v>
      </c>
      <c r="M714" s="9" t="e">
        <f>IF(OR(OIT!#REF!="",OIT!#REF!=""),"",OIT!#REF!-OIT!#REF!)</f>
        <v>#REF!</v>
      </c>
      <c r="N714" s="9" t="e">
        <f>IF(OR(OIT!#REF!="",OIT!#REF!=""),"",OIT!#REF!-OIT!#REF!)</f>
        <v>#REF!</v>
      </c>
      <c r="O714" s="9">
        <f t="shared" si="44"/>
        <v>26592.827503967274</v>
      </c>
      <c r="P714" s="9">
        <f t="shared" si="45"/>
        <v>620.84355571732897</v>
      </c>
      <c r="Q714" s="9">
        <f t="shared" si="46"/>
        <v>0.34743780119833512</v>
      </c>
      <c r="R714" s="9">
        <f t="shared" si="47"/>
        <v>9376.5979191071528</v>
      </c>
    </row>
    <row r="715" spans="1:18" ht="15.5">
      <c r="A715" s="7" t="s">
        <v>38</v>
      </c>
      <c r="B715" s="7" t="s">
        <v>39</v>
      </c>
      <c r="C715" s="8">
        <v>2019</v>
      </c>
      <c r="D715" s="9">
        <v>28.938098</v>
      </c>
      <c r="E715" s="9">
        <v>14.6540679931641</v>
      </c>
      <c r="F715" s="9">
        <v>1781.85</v>
      </c>
      <c r="G715" s="9">
        <v>2.8934617042541499</v>
      </c>
      <c r="H715" s="9">
        <v>6678.7578125</v>
      </c>
      <c r="I715" s="9">
        <v>135118.21875</v>
      </c>
      <c r="J715" s="9">
        <v>1.24521613121033</v>
      </c>
      <c r="K715" s="9">
        <v>8.4363751113414806E-2</v>
      </c>
      <c r="L715" s="9" t="e">
        <f>IF(OR(OIT!#REF!="",OIT!#REF!=""),"",OIT!#REF!-OIT!#REF!)</f>
        <v>#REF!</v>
      </c>
      <c r="M715" s="9" t="e">
        <f>IF(OR(OIT!#REF!="",OIT!#REF!=""),"",OIT!#REF!-OIT!#REF!)</f>
        <v>#REF!</v>
      </c>
      <c r="N715" s="9" t="e">
        <f>IF(OR(OIT!#REF!="",OIT!#REF!=""),"",OIT!#REF!-OIT!#REF!)</f>
        <v>#REF!</v>
      </c>
      <c r="O715" s="9">
        <f t="shared" si="44"/>
        <v>26111.351053619452</v>
      </c>
      <c r="P715" s="9">
        <f t="shared" si="45"/>
        <v>455.76135006440114</v>
      </c>
      <c r="Q715" s="9">
        <f t="shared" si="46"/>
        <v>0.25577986366102712</v>
      </c>
      <c r="R715" s="9">
        <f t="shared" si="47"/>
        <v>9220.5262602187049</v>
      </c>
    </row>
    <row r="716" spans="1:18" ht="15.5">
      <c r="A716" s="7" t="s">
        <v>38</v>
      </c>
      <c r="B716" s="7" t="s">
        <v>39</v>
      </c>
      <c r="C716" s="8">
        <v>2020</v>
      </c>
      <c r="D716" s="9">
        <v>28.444077</v>
      </c>
      <c r="E716" s="9">
        <v>13.551404953002899</v>
      </c>
      <c r="F716" s="9">
        <v>1670.35</v>
      </c>
      <c r="G716" s="9">
        <v>2.9295210838317902</v>
      </c>
      <c r="H716" s="9">
        <v>4675.62841796875</v>
      </c>
      <c r="I716" s="9">
        <v>130790.8203125</v>
      </c>
      <c r="J716" s="9">
        <v>0.93893241882324197</v>
      </c>
      <c r="K716" s="9">
        <v>8.4363751113414806E-2</v>
      </c>
      <c r="L716" s="9" t="e">
        <f>IF(OR(OIT!#REF!="",OIT!#REF!=""),"",OIT!#REF!-OIT!#REF!)</f>
        <v>#REF!</v>
      </c>
      <c r="M716" s="9" t="e">
        <f>IF(OR(OIT!#REF!="",OIT!#REF!=""),"",OIT!#REF!-OIT!#REF!)</f>
        <v>#REF!</v>
      </c>
      <c r="N716" s="9" t="e">
        <f>IF(OR(OIT!#REF!="",OIT!#REF!=""),"",OIT!#REF!-OIT!#REF!)</f>
        <v>#REF!</v>
      </c>
      <c r="O716" s="9">
        <f t="shared" si="44"/>
        <v>22635.589263248392</v>
      </c>
      <c r="P716" s="9">
        <f t="shared" si="45"/>
        <v>345.02905301583968</v>
      </c>
      <c r="Q716" s="9">
        <f t="shared" si="46"/>
        <v>0.20656093214945354</v>
      </c>
      <c r="R716" s="9">
        <f t="shared" si="47"/>
        <v>9651.4583370573419</v>
      </c>
    </row>
    <row r="717" spans="1:18" ht="15.5">
      <c r="A717" s="7" t="s">
        <v>38</v>
      </c>
      <c r="B717" s="7" t="s">
        <v>39</v>
      </c>
      <c r="C717" s="8">
        <v>2021</v>
      </c>
      <c r="D717" s="9">
        <v>28.237825999999998</v>
      </c>
      <c r="E717" s="9">
        <v>13.6142463684082</v>
      </c>
      <c r="F717" s="9">
        <v>1748.93</v>
      </c>
      <c r="G717" s="9">
        <v>2.9835476875305198</v>
      </c>
      <c r="H717" s="9">
        <v>4722.2060546875</v>
      </c>
      <c r="I717" s="9">
        <v>126822.9375</v>
      </c>
      <c r="J717" s="9">
        <v>1</v>
      </c>
      <c r="K717" s="9">
        <v>8.4363751113414806E-2</v>
      </c>
      <c r="L717" s="9" t="e">
        <f>IF(OR(OIT!#REF!="",OIT!#REF!=""),"",OIT!#REF!-OIT!#REF!)</f>
        <v>#REF!</v>
      </c>
      <c r="M717" s="9" t="e">
        <f>IF(OR(OIT!#REF!="",OIT!#REF!=""),"",OIT!#REF!-OIT!#REF!)</f>
        <v>#REF!</v>
      </c>
      <c r="N717" s="9" t="e">
        <f>IF(OR(OIT!#REF!="",OIT!#REF!=""),"",OIT!#REF!-OIT!#REF!)</f>
        <v>#REF!</v>
      </c>
      <c r="O717" s="9">
        <f t="shared" si="44"/>
        <v>23810.363901100154</v>
      </c>
      <c r="P717" s="9">
        <f t="shared" si="45"/>
        <v>346.85769060602274</v>
      </c>
      <c r="Q717" s="9">
        <f t="shared" si="46"/>
        <v>0.19832565660490856</v>
      </c>
      <c r="R717" s="9">
        <f t="shared" si="47"/>
        <v>9315.4577982584542</v>
      </c>
    </row>
    <row r="718" spans="1:18" ht="15.5">
      <c r="A718" s="7" t="s">
        <v>38</v>
      </c>
      <c r="B718" s="7" t="s">
        <v>39</v>
      </c>
      <c r="C718" s="8">
        <v>2022</v>
      </c>
      <c r="D718" s="9">
        <v>28.213017000000001</v>
      </c>
      <c r="E718" s="9">
        <v>14.590522766113301</v>
      </c>
      <c r="F718" s="9">
        <v>1777.28</v>
      </c>
      <c r="G718" s="9">
        <v>3.0400660037994398</v>
      </c>
      <c r="H718" s="9">
        <v>5100.099609375</v>
      </c>
      <c r="I718" s="9">
        <v>123220.6171875</v>
      </c>
      <c r="J718" s="9">
        <v>1.1308562755584699</v>
      </c>
      <c r="K718" s="9">
        <v>8.4363751113414806E-2</v>
      </c>
      <c r="L718" s="9" t="e">
        <f>IF(OR(OIT!#REF!="",OIT!#REF!=""),"",OIT!#REF!-OIT!#REF!)</f>
        <v>#REF!</v>
      </c>
      <c r="M718" s="9" t="e">
        <f>IF(OR(OIT!#REF!="",OIT!#REF!=""),"",OIT!#REF!-OIT!#REF!)</f>
        <v>#REF!</v>
      </c>
      <c r="N718" s="9" t="e">
        <f>IF(OR(OIT!#REF!="",OIT!#REF!=""),"",OIT!#REF!-OIT!#REF!)</f>
        <v>#REF!</v>
      </c>
      <c r="O718" s="9">
        <f t="shared" si="44"/>
        <v>25931.444301757845</v>
      </c>
      <c r="P718" s="9">
        <f t="shared" si="45"/>
        <v>349.54879212553334</v>
      </c>
      <c r="Q718" s="9">
        <f t="shared" si="46"/>
        <v>0.19667626492479146</v>
      </c>
      <c r="R718" s="9">
        <f t="shared" si="47"/>
        <v>8445.2503287738018</v>
      </c>
    </row>
    <row r="719" spans="1:18" ht="15.5">
      <c r="A719" s="7" t="s">
        <v>38</v>
      </c>
      <c r="B719" s="7" t="s">
        <v>39</v>
      </c>
      <c r="C719" s="8">
        <v>2023</v>
      </c>
      <c r="D719" s="9">
        <v>28.300854000000001</v>
      </c>
      <c r="E719" s="9">
        <v>15.315681457519499</v>
      </c>
      <c r="F719" s="9">
        <v>1776.7</v>
      </c>
      <c r="G719" s="9">
        <v>3.0992200374603298</v>
      </c>
      <c r="H719" s="9">
        <v>5304.27978515625</v>
      </c>
      <c r="I719" s="9">
        <v>119927.1796875</v>
      </c>
      <c r="J719" s="9">
        <v>1.22892010211945</v>
      </c>
      <c r="K719" s="9">
        <v>8.4363751113414806E-2</v>
      </c>
      <c r="L719" s="9" t="e">
        <f>IF(OR(OIT!#REF!="",OIT!#REF!=""),"",OIT!#REF!-OIT!#REF!)</f>
        <v>#REF!</v>
      </c>
      <c r="M719" s="9" t="e">
        <f>IF(OR(OIT!#REF!="",OIT!#REF!=""),"",OIT!#REF!-OIT!#REF!)</f>
        <v>#REF!</v>
      </c>
      <c r="N719" s="9" t="e">
        <f>IF(OR(OIT!#REF!="",OIT!#REF!=""),"",OIT!#REF!-OIT!#REF!)</f>
        <v>#REF!</v>
      </c>
      <c r="O719" s="9">
        <f t="shared" si="44"/>
        <v>27211.371245574894</v>
      </c>
      <c r="P719" s="9">
        <f t="shared" si="45"/>
        <v>346.32998863736628</v>
      </c>
      <c r="Q719" s="9">
        <f t="shared" si="46"/>
        <v>0.19492879418999623</v>
      </c>
      <c r="R719" s="9">
        <f t="shared" si="47"/>
        <v>7830.3521798972697</v>
      </c>
    </row>
    <row r="720" spans="1:18" ht="15.5">
      <c r="A720" s="7" t="s">
        <v>38</v>
      </c>
      <c r="B720" s="7" t="s">
        <v>39</v>
      </c>
      <c r="C720" s="8">
        <v>2024</v>
      </c>
      <c r="D720" s="9"/>
      <c r="E720" s="9"/>
      <c r="F720" s="9"/>
      <c r="G720" s="9"/>
      <c r="H720" s="9"/>
      <c r="I720" s="9"/>
      <c r="J720" s="9"/>
      <c r="K720" s="9"/>
      <c r="L720" s="9" t="e">
        <f>IF(OR(OIT!#REF!="",OIT!#REF!=""),"",OIT!#REF!-OIT!#REF!)</f>
        <v>#REF!</v>
      </c>
      <c r="M720" s="9" t="e">
        <f>IF(OR(OIT!#REF!="",OIT!#REF!=""),"",OIT!#REF!-OIT!#REF!)</f>
        <v>#REF!</v>
      </c>
      <c r="N720" s="9" t="e">
        <f>IF(OR(OIT!#REF!="",OIT!#REF!=""),"",OIT!#REF!-OIT!#REF!)</f>
        <v>#REF!</v>
      </c>
      <c r="O720" s="9">
        <f t="shared" si="44"/>
        <v>0</v>
      </c>
      <c r="P720" s="9" t="str">
        <f t="shared" si="45"/>
        <v/>
      </c>
      <c r="Q720" s="9" t="str">
        <f t="shared" si="46"/>
        <v/>
      </c>
      <c r="R720" s="9" t="str">
        <f t="shared" si="47"/>
        <v/>
      </c>
    </row>
    <row r="721" spans="1:18" ht="15.5">
      <c r="A721" s="7" t="s">
        <v>38</v>
      </c>
      <c r="B721" s="7" t="s">
        <v>39</v>
      </c>
      <c r="C721" s="8">
        <v>2025</v>
      </c>
      <c r="D721" s="9"/>
      <c r="E721" s="9"/>
      <c r="F721" s="9"/>
      <c r="G721" s="9"/>
      <c r="H721" s="9"/>
      <c r="I721" s="9"/>
      <c r="J721" s="9"/>
      <c r="K721" s="9"/>
      <c r="L721" s="9" t="e">
        <f>IF(OR(OIT!#REF!="",OIT!#REF!=""),"",OIT!#REF!-OIT!#REF!)</f>
        <v>#REF!</v>
      </c>
      <c r="M721" s="9" t="e">
        <f>IF(OR(OIT!#REF!="",OIT!#REF!=""),"",OIT!#REF!-OIT!#REF!)</f>
        <v>#REF!</v>
      </c>
      <c r="N721" s="9" t="e">
        <f>IF(OR(OIT!#REF!="",OIT!#REF!=""),"",OIT!#REF!-OIT!#REF!)</f>
        <v>#REF!</v>
      </c>
      <c r="O721" s="9">
        <f t="shared" si="44"/>
        <v>0</v>
      </c>
      <c r="P721" s="9" t="str">
        <f t="shared" si="45"/>
        <v/>
      </c>
      <c r="Q721" s="9" t="str">
        <f t="shared" si="46"/>
        <v/>
      </c>
      <c r="R721" s="9" t="str">
        <f t="shared" si="47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D42"/>
  <sheetViews>
    <sheetView showGridLines="0" zoomScaleNormal="100" workbookViewId="0">
      <selection sqref="A1:D1"/>
    </sheetView>
  </sheetViews>
  <sheetFormatPr defaultColWidth="8.83203125" defaultRowHeight="14"/>
  <cols>
    <col min="1" max="1" width="60" customWidth="1"/>
    <col min="2" max="2" width="72" customWidth="1"/>
    <col min="3" max="3" width="28" customWidth="1"/>
    <col min="4" max="4" width="24" customWidth="1"/>
  </cols>
  <sheetData>
    <row r="1" spans="1:4" ht="37" customHeight="1">
      <c r="A1" s="6" t="s">
        <v>113</v>
      </c>
      <c r="B1" s="3" t="s">
        <v>114</v>
      </c>
      <c r="C1" s="3" t="s">
        <v>115</v>
      </c>
      <c r="D1" s="4" t="s">
        <v>116</v>
      </c>
    </row>
    <row r="2" spans="1:4" ht="15.5">
      <c r="A2" s="11" t="s">
        <v>72</v>
      </c>
      <c r="B2" s="5" t="s">
        <v>40</v>
      </c>
      <c r="C2" s="5" t="s">
        <v>41</v>
      </c>
      <c r="D2" s="13" t="s">
        <v>42</v>
      </c>
    </row>
    <row r="3" spans="1:4" ht="15.5">
      <c r="A3" s="12" t="s">
        <v>73</v>
      </c>
      <c r="B3" s="5" t="s">
        <v>43</v>
      </c>
      <c r="C3" s="5" t="s">
        <v>41</v>
      </c>
      <c r="D3" s="13" t="s">
        <v>42</v>
      </c>
    </row>
    <row r="4" spans="1:4" ht="15.5">
      <c r="A4" s="12" t="s">
        <v>74</v>
      </c>
      <c r="B4" s="5" t="s">
        <v>44</v>
      </c>
      <c r="C4" s="5" t="s">
        <v>41</v>
      </c>
      <c r="D4" s="13" t="s">
        <v>45</v>
      </c>
    </row>
    <row r="5" spans="1:4" ht="15.5">
      <c r="A5" s="12" t="s">
        <v>75</v>
      </c>
      <c r="B5" s="5" t="s">
        <v>117</v>
      </c>
      <c r="C5" s="5" t="s">
        <v>131</v>
      </c>
      <c r="D5" s="13" t="s">
        <v>46</v>
      </c>
    </row>
    <row r="6" spans="1:4" ht="15.5">
      <c r="A6" s="12" t="s">
        <v>76</v>
      </c>
      <c r="B6" s="5" t="s">
        <v>118</v>
      </c>
      <c r="C6" s="5" t="s">
        <v>131</v>
      </c>
      <c r="D6" s="13" t="s">
        <v>46</v>
      </c>
    </row>
    <row r="7" spans="1:4" ht="15.5">
      <c r="A7" s="12" t="s">
        <v>77</v>
      </c>
      <c r="B7" s="5" t="s">
        <v>119</v>
      </c>
      <c r="C7" s="5" t="s">
        <v>131</v>
      </c>
      <c r="D7" s="13" t="s">
        <v>46</v>
      </c>
    </row>
    <row r="8" spans="1:4" ht="15.5">
      <c r="A8" s="12" t="s">
        <v>78</v>
      </c>
      <c r="B8" s="5" t="s">
        <v>120</v>
      </c>
      <c r="C8" s="5" t="s">
        <v>131</v>
      </c>
      <c r="D8" s="13" t="s">
        <v>46</v>
      </c>
    </row>
    <row r="9" spans="1:4" ht="15.5">
      <c r="A9" s="12" t="s">
        <v>79</v>
      </c>
      <c r="B9" s="5" t="s">
        <v>121</v>
      </c>
      <c r="C9" s="5" t="s">
        <v>131</v>
      </c>
      <c r="D9" s="13" t="s">
        <v>46</v>
      </c>
    </row>
    <row r="10" spans="1:4" ht="15.5">
      <c r="A10" s="12" t="s">
        <v>96</v>
      </c>
      <c r="B10" s="5" t="s">
        <v>122</v>
      </c>
      <c r="C10" s="5" t="s">
        <v>131</v>
      </c>
      <c r="D10" s="13" t="s">
        <v>46</v>
      </c>
    </row>
    <row r="11" spans="1:4" ht="15.5">
      <c r="A11" s="12" t="s">
        <v>95</v>
      </c>
      <c r="B11" s="5" t="s">
        <v>123</v>
      </c>
      <c r="C11" s="5" t="s">
        <v>131</v>
      </c>
      <c r="D11" s="13" t="s">
        <v>46</v>
      </c>
    </row>
    <row r="12" spans="1:4" ht="15.5">
      <c r="A12" s="12" t="s">
        <v>97</v>
      </c>
      <c r="B12" s="5" t="s">
        <v>124</v>
      </c>
      <c r="C12" s="5" t="s">
        <v>131</v>
      </c>
      <c r="D12" s="13" t="s">
        <v>46</v>
      </c>
    </row>
    <row r="13" spans="1:4" ht="15.5">
      <c r="A13" s="12" t="s">
        <v>98</v>
      </c>
      <c r="B13" s="5" t="s">
        <v>125</v>
      </c>
      <c r="C13" s="5" t="s">
        <v>131</v>
      </c>
      <c r="D13" s="13" t="s">
        <v>46</v>
      </c>
    </row>
    <row r="14" spans="1:4" ht="15.5">
      <c r="A14" s="12" t="s">
        <v>100</v>
      </c>
      <c r="B14" s="5" t="s">
        <v>126</v>
      </c>
      <c r="C14" s="5" t="s">
        <v>131</v>
      </c>
      <c r="D14" s="13" t="s">
        <v>46</v>
      </c>
    </row>
    <row r="15" spans="1:4" ht="15.5">
      <c r="A15" s="12" t="s">
        <v>99</v>
      </c>
      <c r="B15" s="5" t="s">
        <v>127</v>
      </c>
      <c r="C15" s="5" t="s">
        <v>131</v>
      </c>
      <c r="D15" s="13" t="s">
        <v>46</v>
      </c>
    </row>
    <row r="16" spans="1:4" ht="15.5">
      <c r="A16" s="12" t="s">
        <v>101</v>
      </c>
      <c r="B16" s="5" t="s">
        <v>47</v>
      </c>
      <c r="C16" s="5" t="s">
        <v>131</v>
      </c>
      <c r="D16" s="13" t="s">
        <v>46</v>
      </c>
    </row>
    <row r="17" spans="1:4" ht="15.5">
      <c r="A17" s="12" t="s">
        <v>80</v>
      </c>
      <c r="B17" s="5" t="s">
        <v>48</v>
      </c>
      <c r="C17" s="5" t="s">
        <v>131</v>
      </c>
      <c r="D17" s="13" t="s">
        <v>49</v>
      </c>
    </row>
    <row r="18" spans="1:4" ht="15.5">
      <c r="A18" s="12" t="s">
        <v>81</v>
      </c>
      <c r="B18" s="5" t="s">
        <v>48</v>
      </c>
      <c r="C18" s="5" t="s">
        <v>131</v>
      </c>
      <c r="D18" s="13" t="s">
        <v>49</v>
      </c>
    </row>
    <row r="19" spans="1:4" ht="15.5">
      <c r="A19" s="12" t="s">
        <v>82</v>
      </c>
      <c r="B19" s="5" t="s">
        <v>48</v>
      </c>
      <c r="C19" s="5" t="s">
        <v>131</v>
      </c>
      <c r="D19" s="13" t="s">
        <v>49</v>
      </c>
    </row>
    <row r="20" spans="1:4" ht="15.5">
      <c r="A20" s="12" t="s">
        <v>83</v>
      </c>
      <c r="B20" s="5" t="s">
        <v>48</v>
      </c>
      <c r="C20" s="5" t="s">
        <v>131</v>
      </c>
      <c r="D20" s="13" t="s">
        <v>49</v>
      </c>
    </row>
    <row r="21" spans="1:4" ht="15.5">
      <c r="A21" s="12" t="s">
        <v>84</v>
      </c>
      <c r="B21" s="5" t="s">
        <v>48</v>
      </c>
      <c r="C21" s="5" t="s">
        <v>131</v>
      </c>
      <c r="D21" s="13" t="s">
        <v>49</v>
      </c>
    </row>
    <row r="22" spans="1:4" ht="15.5">
      <c r="A22" s="12" t="s">
        <v>85</v>
      </c>
      <c r="B22" s="5" t="s">
        <v>48</v>
      </c>
      <c r="C22" s="5" t="s">
        <v>131</v>
      </c>
      <c r="D22" s="13" t="s">
        <v>49</v>
      </c>
    </row>
    <row r="23" spans="1:4" ht="15.5">
      <c r="A23" s="12" t="s">
        <v>86</v>
      </c>
      <c r="B23" s="5" t="s">
        <v>48</v>
      </c>
      <c r="C23" s="5" t="s">
        <v>131</v>
      </c>
      <c r="D23" s="13" t="s">
        <v>49</v>
      </c>
    </row>
    <row r="24" spans="1:4" ht="15.5">
      <c r="A24" s="12" t="s">
        <v>87</v>
      </c>
      <c r="B24" s="5" t="s">
        <v>48</v>
      </c>
      <c r="C24" s="5" t="s">
        <v>131</v>
      </c>
      <c r="D24" s="13" t="s">
        <v>49</v>
      </c>
    </row>
    <row r="25" spans="1:4" ht="15.5">
      <c r="A25" s="12" t="s">
        <v>88</v>
      </c>
      <c r="B25" s="5" t="s">
        <v>128</v>
      </c>
      <c r="C25" s="5" t="s">
        <v>131</v>
      </c>
      <c r="D25" s="13" t="s">
        <v>46</v>
      </c>
    </row>
    <row r="26" spans="1:4" ht="15.5">
      <c r="A26" s="12" t="s">
        <v>89</v>
      </c>
      <c r="B26" s="5" t="s">
        <v>129</v>
      </c>
      <c r="C26" s="5" t="s">
        <v>131</v>
      </c>
      <c r="D26" s="13" t="s">
        <v>46</v>
      </c>
    </row>
    <row r="27" spans="1:4" ht="15.5">
      <c r="A27" s="12" t="s">
        <v>90</v>
      </c>
      <c r="B27" s="5" t="s">
        <v>130</v>
      </c>
      <c r="C27" s="5" t="s">
        <v>131</v>
      </c>
      <c r="D27" s="13" t="s">
        <v>46</v>
      </c>
    </row>
    <row r="28" spans="1:4" ht="15.5">
      <c r="A28" s="12" t="s">
        <v>91</v>
      </c>
      <c r="B28" s="5" t="s">
        <v>50</v>
      </c>
      <c r="C28" s="5" t="s">
        <v>51</v>
      </c>
      <c r="D28" s="13" t="s">
        <v>52</v>
      </c>
    </row>
    <row r="29" spans="1:4" ht="15.5">
      <c r="A29" s="12" t="s">
        <v>92</v>
      </c>
      <c r="B29" s="5" t="s">
        <v>53</v>
      </c>
      <c r="C29" s="5" t="s">
        <v>51</v>
      </c>
      <c r="D29" s="13" t="s">
        <v>52</v>
      </c>
    </row>
    <row r="30" spans="1:4" ht="15.5">
      <c r="A30" s="12" t="s">
        <v>93</v>
      </c>
      <c r="B30" s="5" t="s">
        <v>54</v>
      </c>
      <c r="C30" s="5" t="s">
        <v>51</v>
      </c>
      <c r="D30" s="13" t="s">
        <v>55</v>
      </c>
    </row>
    <row r="31" spans="1:4" ht="15.5">
      <c r="A31" s="12" t="s">
        <v>94</v>
      </c>
      <c r="B31" s="5" t="s">
        <v>56</v>
      </c>
      <c r="C31" s="5" t="s">
        <v>51</v>
      </c>
      <c r="D31" s="13" t="s">
        <v>57</v>
      </c>
    </row>
    <row r="32" spans="1:4" ht="15.5">
      <c r="A32" s="12" t="s">
        <v>102</v>
      </c>
      <c r="B32" s="5" t="s">
        <v>58</v>
      </c>
      <c r="C32" s="5" t="s">
        <v>51</v>
      </c>
      <c r="D32" s="13" t="s">
        <v>59</v>
      </c>
    </row>
    <row r="33" spans="1:4" ht="15.5">
      <c r="A33" s="12" t="s">
        <v>103</v>
      </c>
      <c r="B33" s="5" t="s">
        <v>60</v>
      </c>
      <c r="C33" s="5" t="s">
        <v>51</v>
      </c>
      <c r="D33" s="13" t="s">
        <v>59</v>
      </c>
    </row>
    <row r="34" spans="1:4" ht="15.5">
      <c r="A34" s="12" t="s">
        <v>104</v>
      </c>
      <c r="B34" s="5" t="s">
        <v>61</v>
      </c>
      <c r="C34" s="5" t="s">
        <v>51</v>
      </c>
      <c r="D34" s="13" t="s">
        <v>57</v>
      </c>
    </row>
    <row r="35" spans="1:4" ht="15.5">
      <c r="A35" s="12" t="s">
        <v>112</v>
      </c>
      <c r="B35" s="5" t="s">
        <v>62</v>
      </c>
      <c r="C35" s="5" t="s">
        <v>51</v>
      </c>
      <c r="D35" s="13" t="s">
        <v>63</v>
      </c>
    </row>
    <row r="36" spans="1:4" ht="15.5">
      <c r="A36" s="12" t="s">
        <v>110</v>
      </c>
      <c r="B36" s="5" t="s">
        <v>66</v>
      </c>
      <c r="C36" s="5" t="s">
        <v>64</v>
      </c>
      <c r="D36" s="13" t="s">
        <v>65</v>
      </c>
    </row>
    <row r="37" spans="1:4" ht="15.5">
      <c r="A37" s="12" t="s">
        <v>109</v>
      </c>
      <c r="B37" s="5" t="s">
        <v>66</v>
      </c>
      <c r="C37" s="5" t="s">
        <v>64</v>
      </c>
      <c r="D37" s="13" t="s">
        <v>65</v>
      </c>
    </row>
    <row r="38" spans="1:4" ht="15.5">
      <c r="A38" s="12" t="s">
        <v>111</v>
      </c>
      <c r="B38" s="5" t="s">
        <v>66</v>
      </c>
      <c r="C38" s="5" t="s">
        <v>64</v>
      </c>
      <c r="D38" s="13" t="s">
        <v>67</v>
      </c>
    </row>
    <row r="39" spans="1:4" ht="15.5">
      <c r="A39" s="12" t="s">
        <v>105</v>
      </c>
      <c r="B39" s="5" t="s">
        <v>68</v>
      </c>
      <c r="C39" s="5" t="s">
        <v>64</v>
      </c>
      <c r="D39" s="13" t="s">
        <v>67</v>
      </c>
    </row>
    <row r="40" spans="1:4" ht="15.5">
      <c r="A40" s="12" t="s">
        <v>108</v>
      </c>
      <c r="B40" s="5" t="s">
        <v>70</v>
      </c>
      <c r="C40" s="5" t="s">
        <v>64</v>
      </c>
      <c r="D40" s="13" t="s">
        <v>67</v>
      </c>
    </row>
    <row r="41" spans="1:4" ht="15.5">
      <c r="A41" s="12" t="s">
        <v>106</v>
      </c>
      <c r="B41" s="5" t="s">
        <v>71</v>
      </c>
      <c r="C41" s="5" t="s">
        <v>64</v>
      </c>
      <c r="D41" s="13" t="s">
        <v>67</v>
      </c>
    </row>
    <row r="42" spans="1:4" ht="15.5">
      <c r="A42" s="12" t="s">
        <v>107</v>
      </c>
      <c r="B42" s="5" t="s">
        <v>69</v>
      </c>
      <c r="C42" s="5" t="s">
        <v>64</v>
      </c>
      <c r="D42" s="13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OIT</vt:lpstr>
      <vt:lpstr>PWT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Moreno Sánchez</dc:creator>
  <cp:lastModifiedBy>Juan Diego Moreno Sanchez</cp:lastModifiedBy>
  <dcterms:created xsi:type="dcterms:W3CDTF">2026-09-08T16:00:18Z</dcterms:created>
  <dcterms:modified xsi:type="dcterms:W3CDTF">2026-10-23T16:39:35Z</dcterms:modified>
</cp:coreProperties>
</file>